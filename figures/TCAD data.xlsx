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Desktop_offline\TCADtarget-manuscript-Jan\figures\"/>
    </mc:Choice>
  </mc:AlternateContent>
  <xr:revisionPtr revIDLastSave="0" documentId="13_ncr:1_{95D261C9-F2EF-4998-A6F8-C56076E91CA7}" xr6:coauthVersionLast="47" xr6:coauthVersionMax="47" xr10:uidLastSave="{00000000-0000-0000-0000-000000000000}"/>
  <bookViews>
    <workbookView xWindow="9375" yWindow="3150" windowWidth="28800" windowHeight="15345" xr2:uid="{6E1D205E-5548-4B10-8EA6-16E0E10C324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1" l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3" i="1"/>
  <c r="O26" i="1"/>
  <c r="I3" i="1"/>
  <c r="J44" i="1" s="1"/>
  <c r="N3" i="1"/>
  <c r="O47" i="1" s="1"/>
  <c r="M20" i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H20" i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C20" i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D3" i="1"/>
  <c r="E8" i="1" s="1"/>
  <c r="J25" i="1" l="1"/>
  <c r="E5" i="1"/>
  <c r="E31" i="1"/>
  <c r="E30" i="1"/>
  <c r="E29" i="1"/>
  <c r="E6" i="1"/>
  <c r="J47" i="1"/>
  <c r="E7" i="1"/>
  <c r="O3" i="1"/>
  <c r="J21" i="1"/>
  <c r="J24" i="1"/>
  <c r="O24" i="1"/>
  <c r="J22" i="1"/>
  <c r="J23" i="1"/>
  <c r="J45" i="1"/>
  <c r="J46" i="1"/>
  <c r="O25" i="1"/>
  <c r="O27" i="1"/>
  <c r="J27" i="1"/>
  <c r="E24" i="1"/>
  <c r="E23" i="1"/>
  <c r="J30" i="1"/>
  <c r="J7" i="1"/>
  <c r="J8" i="1"/>
  <c r="E19" i="1"/>
  <c r="E42" i="1"/>
  <c r="J11" i="1"/>
  <c r="E15" i="1"/>
  <c r="O16" i="1"/>
  <c r="O40" i="1"/>
  <c r="J28" i="1"/>
  <c r="E47" i="1"/>
  <c r="O33" i="1"/>
  <c r="O35" i="1"/>
  <c r="O13" i="1"/>
  <c r="E41" i="1"/>
  <c r="E40" i="1"/>
  <c r="E16" i="1"/>
  <c r="J37" i="1"/>
  <c r="E38" i="1"/>
  <c r="E14" i="1"/>
  <c r="J14" i="1"/>
  <c r="J38" i="1"/>
  <c r="O17" i="1"/>
  <c r="O41" i="1"/>
  <c r="O4" i="1"/>
  <c r="O5" i="1"/>
  <c r="E25" i="1"/>
  <c r="E3" i="1"/>
  <c r="O7" i="1"/>
  <c r="O9" i="1"/>
  <c r="J31" i="1"/>
  <c r="E44" i="1"/>
  <c r="J32" i="1"/>
  <c r="J9" i="1"/>
  <c r="J34" i="1"/>
  <c r="E17" i="1"/>
  <c r="O15" i="1"/>
  <c r="J13" i="1"/>
  <c r="E37" i="1"/>
  <c r="E13" i="1"/>
  <c r="J15" i="1"/>
  <c r="J39" i="1"/>
  <c r="O18" i="1"/>
  <c r="O42" i="1"/>
  <c r="O31" i="1"/>
  <c r="J6" i="1"/>
  <c r="O36" i="1"/>
  <c r="O38" i="1"/>
  <c r="E12" i="1"/>
  <c r="J16" i="1"/>
  <c r="J40" i="1"/>
  <c r="O19" i="1"/>
  <c r="O43" i="1"/>
  <c r="O29" i="1"/>
  <c r="O32" i="1"/>
  <c r="E21" i="1"/>
  <c r="O12" i="1"/>
  <c r="J35" i="1"/>
  <c r="E35" i="1"/>
  <c r="E11" i="1"/>
  <c r="J17" i="1"/>
  <c r="J41" i="1"/>
  <c r="O20" i="1"/>
  <c r="O44" i="1"/>
  <c r="E4" i="1"/>
  <c r="E26" i="1"/>
  <c r="O30" i="1"/>
  <c r="J5" i="1"/>
  <c r="E22" i="1"/>
  <c r="O10" i="1"/>
  <c r="O37" i="1"/>
  <c r="J36" i="1"/>
  <c r="E39" i="1"/>
  <c r="E34" i="1"/>
  <c r="E10" i="1"/>
  <c r="J18" i="1"/>
  <c r="J42" i="1"/>
  <c r="O21" i="1"/>
  <c r="O45" i="1"/>
  <c r="E27" i="1"/>
  <c r="O28" i="1"/>
  <c r="J3" i="1"/>
  <c r="J4" i="1"/>
  <c r="O8" i="1"/>
  <c r="O34" i="1"/>
  <c r="E20" i="1"/>
  <c r="E43" i="1"/>
  <c r="J33" i="1"/>
  <c r="E18" i="1"/>
  <c r="O14" i="1"/>
  <c r="J12" i="1"/>
  <c r="E36" i="1"/>
  <c r="E33" i="1"/>
  <c r="E9" i="1"/>
  <c r="J19" i="1"/>
  <c r="J43" i="1"/>
  <c r="O22" i="1"/>
  <c r="O46" i="1"/>
  <c r="E28" i="1"/>
  <c r="J26" i="1"/>
  <c r="O6" i="1"/>
  <c r="J29" i="1"/>
  <c r="E46" i="1"/>
  <c r="E45" i="1"/>
  <c r="O11" i="1"/>
  <c r="J10" i="1"/>
  <c r="O39" i="1"/>
  <c r="E32" i="1"/>
  <c r="J20" i="1"/>
  <c r="O23" i="1"/>
</calcChain>
</file>

<file path=xl/sharedStrings.xml><?xml version="1.0" encoding="utf-8"?>
<sst xmlns="http://schemas.openxmlformats.org/spreadsheetml/2006/main" count="18" uniqueCount="12">
  <si>
    <t>time</t>
    <phoneticPr fontId="1" type="noConversion"/>
  </si>
  <si>
    <t>Vt raw</t>
    <phoneticPr fontId="1" type="noConversion"/>
  </si>
  <si>
    <t>DVt</t>
    <phoneticPr fontId="1" type="noConversion"/>
  </si>
  <si>
    <t>0V</t>
    <phoneticPr fontId="1" type="noConversion"/>
  </si>
  <si>
    <t>Vpgm = 18.6 V</t>
    <phoneticPr fontId="1" type="noConversion"/>
  </si>
  <si>
    <t>5/6/8</t>
    <phoneticPr fontId="1" type="noConversion"/>
  </si>
  <si>
    <t>O/N/O</t>
    <phoneticPr fontId="1" type="noConversion"/>
  </si>
  <si>
    <t>tpgm =10 us</t>
    <phoneticPr fontId="1" type="noConversion"/>
  </si>
  <si>
    <t>1V</t>
    <phoneticPr fontId="1" type="noConversion"/>
  </si>
  <si>
    <t>2V</t>
    <phoneticPr fontId="1" type="noConversion"/>
  </si>
  <si>
    <t>Vpgm = 20.5V</t>
    <phoneticPr fontId="1" type="noConversion"/>
  </si>
  <si>
    <t>Vpgm = 19.6V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</si>
</sst>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7C826-F786-4EE7-9C76-F06B5176B29E}">
  <dimension ref="A1:P47"/>
  <sheetViews>
    <sheetView tabSelected="1" workbookViewId="0">
      <selection activeCell="T12" sqref="T12"/>
    </sheetView>
  </sheetViews>
  <sheetFormatPr defaultRowHeight="16.5" x14ac:dyDescent="0.3"/>
  <cols>
    <col min="1" max="1" width="9.25" bestFit="1" customWidth="1"/>
    <col min="2" max="2" width="15" bestFit="1" customWidth="1"/>
    <col min="7" max="7" width="14.25" bestFit="1" customWidth="1"/>
    <col min="12" max="12" width="14.25" bestFit="1" customWidth="1"/>
  </cols>
  <sheetData>
    <row r="1" spans="1:16" x14ac:dyDescent="0.3">
      <c r="A1" t="s">
        <v>6</v>
      </c>
      <c r="B1" s="2" t="s">
        <v>5</v>
      </c>
    </row>
    <row r="2" spans="1:16" x14ac:dyDescent="0.3">
      <c r="A2" t="s">
        <v>7</v>
      </c>
      <c r="C2" t="s">
        <v>0</v>
      </c>
      <c r="D2" t="s">
        <v>1</v>
      </c>
      <c r="E2" t="s">
        <v>2</v>
      </c>
      <c r="G2" t="s">
        <v>8</v>
      </c>
      <c r="H2" t="s">
        <v>0</v>
      </c>
      <c r="I2" t="s">
        <v>1</v>
      </c>
      <c r="J2" t="s">
        <v>2</v>
      </c>
      <c r="L2" t="s">
        <v>9</v>
      </c>
      <c r="M2" t="s">
        <v>0</v>
      </c>
      <c r="N2" t="s">
        <v>1</v>
      </c>
      <c r="O2" t="s">
        <v>2</v>
      </c>
    </row>
    <row r="3" spans="1:16" x14ac:dyDescent="0.3">
      <c r="B3" t="s">
        <v>3</v>
      </c>
      <c r="C3" s="1">
        <v>9.9999999999999998E-13</v>
      </c>
      <c r="D3">
        <f>-2.32123496134</f>
        <v>-2.3212349613400001</v>
      </c>
      <c r="E3">
        <f>D3-D$3</f>
        <v>0</v>
      </c>
      <c r="F3">
        <f>0+E3</f>
        <v>0</v>
      </c>
      <c r="G3" t="s">
        <v>11</v>
      </c>
      <c r="H3" s="1">
        <v>9.9999999999999998E-13</v>
      </c>
      <c r="I3">
        <f>-1.40535090431</f>
        <v>-1.4053509043100001</v>
      </c>
      <c r="J3">
        <f>I3-I$3</f>
        <v>0</v>
      </c>
      <c r="K3">
        <f>1+J3</f>
        <v>1</v>
      </c>
      <c r="L3" t="s">
        <v>10</v>
      </c>
      <c r="M3" s="1">
        <v>9.9999999999999998E-13</v>
      </c>
      <c r="N3">
        <f>-0.4252108081</f>
        <v>-0.4252108081</v>
      </c>
      <c r="O3">
        <f>N3-N$3</f>
        <v>0</v>
      </c>
      <c r="P3">
        <f>2+O3</f>
        <v>2</v>
      </c>
    </row>
    <row r="4" spans="1:16" x14ac:dyDescent="0.3">
      <c r="B4" t="s">
        <v>4</v>
      </c>
      <c r="C4">
        <v>0</v>
      </c>
      <c r="D4">
        <v>-2.32123472391</v>
      </c>
      <c r="E4">
        <f>D4-D$3</f>
        <v>2.3743000010512105E-7</v>
      </c>
      <c r="F4">
        <f t="shared" ref="F4:F47" si="0">0+E4</f>
        <v>2.3743000010512105E-7</v>
      </c>
      <c r="H4">
        <v>0</v>
      </c>
      <c r="I4">
        <v>-1.4053509043100001</v>
      </c>
      <c r="J4">
        <f>I4-I$3</f>
        <v>0</v>
      </c>
      <c r="K4">
        <f t="shared" ref="K4:K47" si="1">1+J4</f>
        <v>1</v>
      </c>
      <c r="M4">
        <v>0</v>
      </c>
      <c r="N4">
        <v>-0.425210838704</v>
      </c>
      <c r="O4">
        <f>N4-N$3</f>
        <v>-3.0604000000877818E-8</v>
      </c>
      <c r="P4">
        <f t="shared" ref="P4:P47" si="2">2+O4</f>
        <v>1.999999969396</v>
      </c>
    </row>
    <row r="5" spans="1:16" x14ac:dyDescent="0.3">
      <c r="C5" s="1">
        <v>9.9999999999999994E-12</v>
      </c>
      <c r="D5">
        <v>-2.3212349048399998</v>
      </c>
      <c r="E5">
        <f>D5-D$3</f>
        <v>5.6500000233938863E-8</v>
      </c>
      <c r="F5">
        <f t="shared" si="0"/>
        <v>5.6500000233938863E-8</v>
      </c>
      <c r="H5" s="1">
        <v>9.9999999999999994E-12</v>
      </c>
      <c r="I5">
        <v>-1.4053509451199999</v>
      </c>
      <c r="J5">
        <f>I5-I$3</f>
        <v>-4.0809999823920862E-8</v>
      </c>
      <c r="K5">
        <f t="shared" si="1"/>
        <v>0.99999995919000018</v>
      </c>
      <c r="M5" s="1">
        <v>9.9999999999999994E-12</v>
      </c>
      <c r="N5">
        <v>-0.42521084974399997</v>
      </c>
      <c r="O5">
        <f>N5-N$3</f>
        <v>-4.1643999970641943E-8</v>
      </c>
      <c r="P5">
        <f t="shared" si="2"/>
        <v>1.999999958356</v>
      </c>
    </row>
    <row r="6" spans="1:16" x14ac:dyDescent="0.3">
      <c r="C6" s="1">
        <v>1E-10</v>
      </c>
      <c r="D6">
        <v>-2.3212349058499999</v>
      </c>
      <c r="E6">
        <f>D6-D$3</f>
        <v>5.5490000150371088E-8</v>
      </c>
      <c r="F6">
        <f t="shared" si="0"/>
        <v>5.5490000150371088E-8</v>
      </c>
      <c r="H6" s="1">
        <v>1E-10</v>
      </c>
      <c r="I6">
        <v>-1.4053509636399999</v>
      </c>
      <c r="J6">
        <f>I6-I$3</f>
        <v>-5.9329999801960298E-8</v>
      </c>
      <c r="K6">
        <f t="shared" si="1"/>
        <v>0.9999999406700002</v>
      </c>
      <c r="M6" s="1">
        <v>1E-10</v>
      </c>
      <c r="N6">
        <v>-0.42521169382099999</v>
      </c>
      <c r="O6">
        <f>N6-N$3</f>
        <v>-8.8572099998796006E-7</v>
      </c>
      <c r="P6">
        <f t="shared" si="2"/>
        <v>1.9999991142789999</v>
      </c>
    </row>
    <row r="7" spans="1:16" x14ac:dyDescent="0.3">
      <c r="C7" s="1">
        <v>1E-8</v>
      </c>
      <c r="D7">
        <v>-2.32123499781</v>
      </c>
      <c r="E7">
        <f>D7-D$3</f>
        <v>-3.6469999908916861E-8</v>
      </c>
      <c r="F7">
        <f t="shared" si="0"/>
        <v>-3.6469999908916861E-8</v>
      </c>
      <c r="H7" s="1">
        <v>1E-8</v>
      </c>
      <c r="I7">
        <v>-1.4053509636399999</v>
      </c>
      <c r="J7">
        <f>I7-I$3</f>
        <v>-5.9329999801960298E-8</v>
      </c>
      <c r="K7">
        <f t="shared" si="1"/>
        <v>0.9999999406700002</v>
      </c>
      <c r="M7" s="1">
        <v>1E-8</v>
      </c>
      <c r="N7">
        <v>-0.42521084975899998</v>
      </c>
      <c r="O7">
        <f>N7-N$3</f>
        <v>-4.1658999971883048E-8</v>
      </c>
      <c r="P7">
        <f t="shared" si="2"/>
        <v>1.999999958341</v>
      </c>
    </row>
    <row r="8" spans="1:16" x14ac:dyDescent="0.3">
      <c r="C8" s="1">
        <v>9.9999999999999995E-8</v>
      </c>
      <c r="D8">
        <v>-2.3212349049699998</v>
      </c>
      <c r="E8">
        <f>D8-D$3</f>
        <v>5.6370000223182615E-8</v>
      </c>
      <c r="F8">
        <f t="shared" si="0"/>
        <v>5.6370000223182615E-8</v>
      </c>
      <c r="H8" s="1">
        <v>9.9999999999999995E-8</v>
      </c>
      <c r="I8">
        <v>-1.4053509636499999</v>
      </c>
      <c r="J8">
        <f>I8-I$3</f>
        <v>-5.9339999802787702E-8</v>
      </c>
      <c r="K8">
        <f t="shared" si="1"/>
        <v>0.9999999406600002</v>
      </c>
      <c r="M8" s="1">
        <v>9.9999999999999995E-8</v>
      </c>
      <c r="N8">
        <v>-0.42521083209400001</v>
      </c>
      <c r="O8">
        <f>N8-N$3</f>
        <v>-2.3994000009075478E-8</v>
      </c>
      <c r="P8">
        <f t="shared" si="2"/>
        <v>1.9999999760059999</v>
      </c>
    </row>
    <row r="9" spans="1:16" x14ac:dyDescent="0.3">
      <c r="C9" s="1">
        <v>9.9999999999999995E-7</v>
      </c>
      <c r="D9">
        <v>-2.3212349933400001</v>
      </c>
      <c r="E9">
        <f>D9-D$3</f>
        <v>-3.1999999983156613E-8</v>
      </c>
      <c r="F9">
        <f t="shared" si="0"/>
        <v>-3.1999999983156613E-8</v>
      </c>
      <c r="H9" s="1">
        <v>9.9999999999999995E-7</v>
      </c>
      <c r="I9">
        <v>-1.4053509636499999</v>
      </c>
      <c r="J9">
        <f>I9-I$3</f>
        <v>-5.9339999802787702E-8</v>
      </c>
      <c r="K9">
        <f t="shared" si="1"/>
        <v>0.9999999406600002</v>
      </c>
      <c r="M9" s="1">
        <v>9.9999999999999995E-7</v>
      </c>
      <c r="N9">
        <v>-0.425210849783</v>
      </c>
      <c r="O9">
        <f>N9-N$3</f>
        <v>-4.1682999996073278E-8</v>
      </c>
      <c r="P9">
        <f t="shared" si="2"/>
        <v>1.9999999583170001</v>
      </c>
    </row>
    <row r="10" spans="1:16" x14ac:dyDescent="0.3">
      <c r="C10" s="1">
        <v>1.0000000000000001E-5</v>
      </c>
      <c r="D10">
        <v>-2.32123499256</v>
      </c>
      <c r="E10">
        <f>D10-D$3</f>
        <v>-3.1219999918619123E-8</v>
      </c>
      <c r="F10">
        <f t="shared" si="0"/>
        <v>-3.1219999918619123E-8</v>
      </c>
      <c r="H10" s="1">
        <v>1.0000000000000001E-5</v>
      </c>
      <c r="I10">
        <v>-1.4053509636999999</v>
      </c>
      <c r="J10">
        <f>I10-I$3</f>
        <v>-5.938999980692472E-8</v>
      </c>
      <c r="K10">
        <f t="shared" si="1"/>
        <v>0.99999994061000019</v>
      </c>
      <c r="M10" s="1">
        <v>1.0000000000000001E-5</v>
      </c>
      <c r="N10">
        <v>-0.42521084999800002</v>
      </c>
      <c r="O10">
        <f>N10-N$3</f>
        <v>-4.1898000013862458E-8</v>
      </c>
      <c r="P10">
        <f t="shared" si="2"/>
        <v>1.999999958102</v>
      </c>
    </row>
    <row r="11" spans="1:16" x14ac:dyDescent="0.3">
      <c r="C11" s="1">
        <v>1E-4</v>
      </c>
      <c r="D11">
        <v>-2.3212350025099999</v>
      </c>
      <c r="E11">
        <f>D11-D$3</f>
        <v>-4.1169999853707395E-8</v>
      </c>
      <c r="F11">
        <f t="shared" si="0"/>
        <v>-4.1169999853707395E-8</v>
      </c>
      <c r="H11" s="1">
        <v>1E-4</v>
      </c>
      <c r="I11">
        <v>-1.40535094576</v>
      </c>
      <c r="J11">
        <f>I11-I$3</f>
        <v>-4.1449999876874699E-8</v>
      </c>
      <c r="K11">
        <f t="shared" si="1"/>
        <v>0.99999995855000012</v>
      </c>
      <c r="M11" s="1">
        <v>1E-4</v>
      </c>
      <c r="N11">
        <v>-0.42521080317900001</v>
      </c>
      <c r="O11">
        <f>N11-N$3</f>
        <v>4.9209999963828466E-9</v>
      </c>
      <c r="P11">
        <f t="shared" si="2"/>
        <v>2.0000000049210001</v>
      </c>
    </row>
    <row r="12" spans="1:16" x14ac:dyDescent="0.3">
      <c r="C12" s="1">
        <v>1E-3</v>
      </c>
      <c r="D12">
        <v>-2.3212351400400002</v>
      </c>
      <c r="E12">
        <f>D12-D$3</f>
        <v>-1.7870000013076037E-7</v>
      </c>
      <c r="F12">
        <f t="shared" si="0"/>
        <v>-1.7870000013076037E-7</v>
      </c>
      <c r="H12" s="1">
        <v>1E-3</v>
      </c>
      <c r="I12">
        <v>-1.40535097001</v>
      </c>
      <c r="J12">
        <f>I12-I$3</f>
        <v>-6.5699999884927252E-8</v>
      </c>
      <c r="K12">
        <f t="shared" si="1"/>
        <v>0.99999993430000012</v>
      </c>
      <c r="M12" s="1">
        <v>1E-3</v>
      </c>
      <c r="N12">
        <v>-0.42521082469600002</v>
      </c>
      <c r="O12">
        <f>N12-N$3</f>
        <v>-1.6596000018687107E-8</v>
      </c>
      <c r="P12">
        <f t="shared" si="2"/>
        <v>1.9999999834039999</v>
      </c>
    </row>
    <row r="13" spans="1:16" x14ac:dyDescent="0.3">
      <c r="C13" s="1">
        <v>0.01</v>
      </c>
      <c r="D13">
        <v>-2.3212347178199999</v>
      </c>
      <c r="E13">
        <f>D13-D$3</f>
        <v>2.435200001649207E-7</v>
      </c>
      <c r="F13">
        <f t="shared" si="0"/>
        <v>2.435200001649207E-7</v>
      </c>
      <c r="H13" s="1">
        <v>0.01</v>
      </c>
      <c r="I13">
        <v>-1.4053510088300001</v>
      </c>
      <c r="J13">
        <f>I13-I$3</f>
        <v>-1.0451999998828398E-7</v>
      </c>
      <c r="K13">
        <f t="shared" si="1"/>
        <v>0.99999989548000001</v>
      </c>
      <c r="M13" s="1">
        <v>0.01</v>
      </c>
      <c r="N13">
        <v>-0.42521108837600002</v>
      </c>
      <c r="O13">
        <f>N13-N$3</f>
        <v>-2.802760000197857E-7</v>
      </c>
      <c r="P13">
        <f t="shared" si="2"/>
        <v>1.999999719724</v>
      </c>
    </row>
    <row r="14" spans="1:16" x14ac:dyDescent="0.3">
      <c r="C14" s="1">
        <v>0.1</v>
      </c>
      <c r="D14">
        <v>-2.3212347531700002</v>
      </c>
      <c r="E14">
        <f>D14-D$3</f>
        <v>2.0816999990458385E-7</v>
      </c>
      <c r="F14">
        <f t="shared" si="0"/>
        <v>2.0816999990458385E-7</v>
      </c>
      <c r="H14" s="1">
        <v>0.1</v>
      </c>
      <c r="I14">
        <v>-1.40535158225</v>
      </c>
      <c r="J14">
        <f>I14-I$3</f>
        <v>-6.7793999991572207E-7</v>
      </c>
      <c r="K14">
        <f t="shared" si="1"/>
        <v>0.99999932206000008</v>
      </c>
      <c r="M14" s="1">
        <v>0.1</v>
      </c>
      <c r="N14">
        <v>-0.42521323426099999</v>
      </c>
      <c r="O14">
        <f>N14-N$3</f>
        <v>-2.4261609999909339E-6</v>
      </c>
      <c r="P14">
        <f t="shared" si="2"/>
        <v>1.9999975738389999</v>
      </c>
    </row>
    <row r="15" spans="1:16" x14ac:dyDescent="0.3">
      <c r="C15" s="1">
        <v>0.2</v>
      </c>
      <c r="D15">
        <v>-2.3212350767399998</v>
      </c>
      <c r="E15">
        <f>D15-D$3</f>
        <v>-1.153999997782762E-7</v>
      </c>
      <c r="F15">
        <f t="shared" si="0"/>
        <v>-1.153999997782762E-7</v>
      </c>
      <c r="H15" s="1">
        <v>0.2</v>
      </c>
      <c r="I15">
        <v>-1.40535223734</v>
      </c>
      <c r="J15">
        <f>I15-I$3</f>
        <v>-1.3330299999392281E-6</v>
      </c>
      <c r="K15">
        <f t="shared" si="1"/>
        <v>0.99999866697000006</v>
      </c>
      <c r="M15" s="1">
        <v>0.2</v>
      </c>
      <c r="N15">
        <v>-0.42521564475000001</v>
      </c>
      <c r="O15">
        <f>N15-N$3</f>
        <v>-4.8366500000063262E-6</v>
      </c>
      <c r="P15">
        <f t="shared" si="2"/>
        <v>1.9999951633499999</v>
      </c>
    </row>
    <row r="16" spans="1:16" x14ac:dyDescent="0.3">
      <c r="C16" s="1">
        <v>0.5</v>
      </c>
      <c r="D16">
        <v>-2.3212352843000001</v>
      </c>
      <c r="E16">
        <f>D16-D$3</f>
        <v>-3.2296000007647763E-7</v>
      </c>
      <c r="F16">
        <f t="shared" si="0"/>
        <v>-3.2296000007647763E-7</v>
      </c>
      <c r="H16" s="1">
        <v>0.5</v>
      </c>
      <c r="I16">
        <v>-1.4053541465999999</v>
      </c>
      <c r="J16">
        <f>I16-I$3</f>
        <v>-3.2422899998163501E-6</v>
      </c>
      <c r="K16">
        <f t="shared" si="1"/>
        <v>0.99999675771000018</v>
      </c>
      <c r="M16" s="1">
        <v>0.5</v>
      </c>
      <c r="N16">
        <v>-0.42522268290100002</v>
      </c>
      <c r="O16">
        <f>N16-N$3</f>
        <v>-1.187480100001137E-5</v>
      </c>
      <c r="P16">
        <f t="shared" si="2"/>
        <v>1.9999881251989999</v>
      </c>
    </row>
    <row r="17" spans="3:16" x14ac:dyDescent="0.3">
      <c r="C17" s="1">
        <v>1</v>
      </c>
      <c r="D17">
        <v>-2.32123566368</v>
      </c>
      <c r="E17">
        <f>D17-D$3</f>
        <v>-7.0233999993618568E-7</v>
      </c>
      <c r="F17">
        <f t="shared" si="0"/>
        <v>-7.0233999993618568E-7</v>
      </c>
      <c r="H17" s="1">
        <v>1</v>
      </c>
      <c r="I17">
        <v>-1.4053573067</v>
      </c>
      <c r="J17">
        <f>I17-I$3</f>
        <v>-6.4023899999376965E-6</v>
      </c>
      <c r="K17">
        <f t="shared" si="1"/>
        <v>0.99999359761000006</v>
      </c>
      <c r="M17" s="1">
        <v>1</v>
      </c>
      <c r="N17">
        <v>-0.42523451647400001</v>
      </c>
      <c r="O17">
        <f>N17-N$3</f>
        <v>-2.3708374000008803E-5</v>
      </c>
      <c r="P17">
        <f t="shared" si="2"/>
        <v>1.999976291626</v>
      </c>
    </row>
    <row r="18" spans="3:16" x14ac:dyDescent="0.3">
      <c r="C18" s="1">
        <v>2</v>
      </c>
      <c r="D18">
        <v>-2.32123618981</v>
      </c>
      <c r="E18">
        <f>D18-D$3</f>
        <v>-1.2284699999476345E-6</v>
      </c>
      <c r="F18">
        <f t="shared" si="0"/>
        <v>-1.2284699999476345E-6</v>
      </c>
      <c r="H18" s="1">
        <v>2</v>
      </c>
      <c r="I18">
        <v>-1.40536366979</v>
      </c>
      <c r="J18">
        <f>I18-I$3</f>
        <v>-1.2765479999954366E-5</v>
      </c>
      <c r="K18">
        <f t="shared" si="1"/>
        <v>0.99998723452000005</v>
      </c>
      <c r="M18" s="1">
        <v>2</v>
      </c>
      <c r="N18">
        <v>-0.42525780742899999</v>
      </c>
      <c r="O18">
        <f>N18-N$3</f>
        <v>-4.6999328999985934E-5</v>
      </c>
      <c r="P18">
        <f t="shared" si="2"/>
        <v>1.999953000671</v>
      </c>
    </row>
    <row r="19" spans="3:16" x14ac:dyDescent="0.3">
      <c r="C19" s="1">
        <v>4</v>
      </c>
      <c r="D19">
        <v>-2.3212378167000001</v>
      </c>
      <c r="E19">
        <f>D19-D$3</f>
        <v>-2.8553599999980861E-6</v>
      </c>
      <c r="F19">
        <f t="shared" si="0"/>
        <v>-2.8553599999980861E-6</v>
      </c>
      <c r="H19" s="1">
        <v>4</v>
      </c>
      <c r="I19">
        <v>-1.40537630858</v>
      </c>
      <c r="J19">
        <f>I19-I$3</f>
        <v>-2.540426999986245E-5</v>
      </c>
      <c r="K19">
        <f t="shared" si="1"/>
        <v>0.99997459573000014</v>
      </c>
      <c r="M19" s="1">
        <v>4</v>
      </c>
      <c r="N19">
        <v>-0.42530331345799999</v>
      </c>
      <c r="O19">
        <f>N19-N$3</f>
        <v>-9.2505357999983495E-5</v>
      </c>
      <c r="P19">
        <f t="shared" si="2"/>
        <v>1.9999074946420001</v>
      </c>
    </row>
    <row r="20" spans="3:16" x14ac:dyDescent="0.3">
      <c r="C20" s="1">
        <f>2*C19</f>
        <v>8</v>
      </c>
      <c r="D20">
        <v>-2.3212409630100002</v>
      </c>
      <c r="E20">
        <f>D20-D$3</f>
        <v>-6.0016700000886658E-6</v>
      </c>
      <c r="F20">
        <f t="shared" si="0"/>
        <v>-6.0016700000886658E-6</v>
      </c>
      <c r="H20" s="1">
        <f>2*H19</f>
        <v>8</v>
      </c>
      <c r="I20">
        <v>-1.4054014043</v>
      </c>
      <c r="J20">
        <f>I20-I$3</f>
        <v>-5.0499989999952533E-5</v>
      </c>
      <c r="K20">
        <f t="shared" si="1"/>
        <v>0.99994950001000005</v>
      </c>
      <c r="M20" s="1">
        <f>2*M19</f>
        <v>8</v>
      </c>
      <c r="N20">
        <v>-0.42539086038500001</v>
      </c>
      <c r="O20">
        <f>N20-N$3</f>
        <v>-1.8005228500000969E-4</v>
      </c>
      <c r="P20">
        <f t="shared" si="2"/>
        <v>1.999819947715</v>
      </c>
    </row>
    <row r="21" spans="3:16" x14ac:dyDescent="0.3">
      <c r="C21" s="1">
        <f t="shared" ref="C21:C47" si="3">2*C20</f>
        <v>16</v>
      </c>
      <c r="D21">
        <v>-2.3212470863900001</v>
      </c>
      <c r="E21">
        <f>D21-D$3</f>
        <v>-1.212505000003361E-5</v>
      </c>
      <c r="F21">
        <f t="shared" si="0"/>
        <v>-1.212505000003361E-5</v>
      </c>
      <c r="H21" s="1">
        <f t="shared" ref="H21:H47" si="4">2*H20</f>
        <v>16</v>
      </c>
      <c r="I21">
        <v>-1.4054507955</v>
      </c>
      <c r="J21">
        <f>I21-I$3</f>
        <v>-9.9891189999867791E-5</v>
      </c>
      <c r="K21">
        <f t="shared" si="1"/>
        <v>0.99990010881000013</v>
      </c>
      <c r="M21" s="1">
        <f t="shared" ref="M21:M47" si="5">2*M20</f>
        <v>16</v>
      </c>
      <c r="N21">
        <v>-0.425554307347</v>
      </c>
      <c r="O21">
        <f>N21-N$3</f>
        <v>-3.434992470000009E-4</v>
      </c>
      <c r="P21">
        <f t="shared" si="2"/>
        <v>1.9996565007530001</v>
      </c>
    </row>
    <row r="22" spans="3:16" x14ac:dyDescent="0.3">
      <c r="C22" s="1">
        <f t="shared" si="3"/>
        <v>32</v>
      </c>
      <c r="D22">
        <v>-2.32125897361</v>
      </c>
      <c r="E22">
        <f>D22-D$3</f>
        <v>-2.4012269999929003E-5</v>
      </c>
      <c r="F22">
        <f t="shared" si="0"/>
        <v>-2.4012269999929003E-5</v>
      </c>
      <c r="H22" s="1">
        <f t="shared" si="4"/>
        <v>32</v>
      </c>
      <c r="I22">
        <v>-1.4055469001700001</v>
      </c>
      <c r="J22">
        <f>I22-I$3</f>
        <v>-1.9599585999996449E-4</v>
      </c>
      <c r="K22">
        <f t="shared" si="1"/>
        <v>0.99980400414000004</v>
      </c>
      <c r="M22" s="1">
        <f t="shared" si="5"/>
        <v>32</v>
      </c>
      <c r="N22">
        <v>-0.42584777876699997</v>
      </c>
      <c r="O22">
        <f>N22-N$3</f>
        <v>-6.3697066699996974E-4</v>
      </c>
      <c r="P22">
        <f t="shared" si="2"/>
        <v>1.999363029333</v>
      </c>
    </row>
    <row r="23" spans="3:16" x14ac:dyDescent="0.3">
      <c r="C23" s="1">
        <f t="shared" si="3"/>
        <v>64</v>
      </c>
      <c r="D23">
        <v>-2.3212824136600001</v>
      </c>
      <c r="E23">
        <f>D23-D$3</f>
        <v>-4.7452320000029857E-5</v>
      </c>
      <c r="F23">
        <f t="shared" si="0"/>
        <v>-4.7452320000029857E-5</v>
      </c>
      <c r="H23" s="1">
        <f t="shared" si="4"/>
        <v>64</v>
      </c>
      <c r="I23">
        <v>-1.4057298004100001</v>
      </c>
      <c r="J23">
        <f>I23-I$3</f>
        <v>-3.788960999999702E-4</v>
      </c>
      <c r="K23">
        <f t="shared" si="1"/>
        <v>0.99962110390000003</v>
      </c>
      <c r="M23" s="1">
        <f t="shared" si="5"/>
        <v>64</v>
      </c>
      <c r="N23">
        <v>-0.42634803674299998</v>
      </c>
      <c r="O23">
        <f>N23-N$3</f>
        <v>-1.1372286429999767E-3</v>
      </c>
      <c r="P23">
        <f t="shared" si="2"/>
        <v>1.998862771357</v>
      </c>
    </row>
    <row r="24" spans="3:16" x14ac:dyDescent="0.3">
      <c r="C24" s="1">
        <f t="shared" si="3"/>
        <v>128</v>
      </c>
      <c r="D24">
        <v>-2.3213283604099999</v>
      </c>
      <c r="E24">
        <f>D24-D$3</f>
        <v>-9.3399069999833273E-5</v>
      </c>
      <c r="F24">
        <f t="shared" si="0"/>
        <v>-9.3399069999833273E-5</v>
      </c>
      <c r="H24" s="1">
        <f t="shared" si="4"/>
        <v>128</v>
      </c>
      <c r="I24">
        <v>-1.40606636933</v>
      </c>
      <c r="J24">
        <f>I24-I$3</f>
        <v>-7.1546501999986134E-4</v>
      </c>
      <c r="K24">
        <f t="shared" si="1"/>
        <v>0.99928453498000014</v>
      </c>
      <c r="M24" s="1">
        <f t="shared" si="5"/>
        <v>128</v>
      </c>
      <c r="N24">
        <v>-0.42715955495199998</v>
      </c>
      <c r="O24">
        <f>N24-N$3</f>
        <v>-1.9487468519999718E-3</v>
      </c>
      <c r="P24">
        <f t="shared" si="2"/>
        <v>1.9980512531480001</v>
      </c>
    </row>
    <row r="25" spans="3:16" x14ac:dyDescent="0.3">
      <c r="C25" s="1">
        <f t="shared" si="3"/>
        <v>256</v>
      </c>
      <c r="D25">
        <v>-2.3214173086800001</v>
      </c>
      <c r="E25">
        <f>D25-D$3</f>
        <v>-1.8234733999999975E-4</v>
      </c>
      <c r="F25">
        <f t="shared" si="0"/>
        <v>-1.8234733999999975E-4</v>
      </c>
      <c r="H25" s="1">
        <f t="shared" si="4"/>
        <v>256</v>
      </c>
      <c r="I25">
        <v>-1.40665823063</v>
      </c>
      <c r="J25">
        <f>I25-I$3</f>
        <v>-1.3073263199998575E-3</v>
      </c>
      <c r="K25">
        <f t="shared" si="1"/>
        <v>0.99869267368000014</v>
      </c>
      <c r="M25" s="1">
        <f t="shared" si="5"/>
        <v>256</v>
      </c>
      <c r="N25">
        <v>-0.42841131509300001</v>
      </c>
      <c r="O25">
        <f>N25-N$3</f>
        <v>-3.2005069930000074E-3</v>
      </c>
      <c r="P25">
        <f t="shared" si="2"/>
        <v>1.9967994930069999</v>
      </c>
    </row>
    <row r="26" spans="3:16" x14ac:dyDescent="0.3">
      <c r="C26" s="1">
        <f t="shared" si="3"/>
        <v>512</v>
      </c>
      <c r="D26">
        <v>-2.3215818218400002</v>
      </c>
      <c r="E26">
        <f>D26-D$3</f>
        <v>-3.4686050000010127E-4</v>
      </c>
      <c r="F26">
        <f t="shared" si="0"/>
        <v>-3.4686050000010127E-4</v>
      </c>
      <c r="H26" s="1">
        <f t="shared" si="4"/>
        <v>512</v>
      </c>
      <c r="I26">
        <v>-1.4076500359699999</v>
      </c>
      <c r="J26">
        <f>I26-I$3</f>
        <v>-2.2991316599998424E-3</v>
      </c>
      <c r="K26">
        <f t="shared" si="1"/>
        <v>0.99770086834000016</v>
      </c>
      <c r="M26" s="1">
        <f t="shared" si="5"/>
        <v>512</v>
      </c>
      <c r="N26">
        <v>-0.43025344692799999</v>
      </c>
      <c r="O26">
        <f>N26-N$3</f>
        <v>-5.0426388279999901E-3</v>
      </c>
      <c r="P26">
        <f t="shared" si="2"/>
        <v>1.994957361172</v>
      </c>
    </row>
    <row r="27" spans="3:16" x14ac:dyDescent="0.3">
      <c r="C27" s="1">
        <f t="shared" si="3"/>
        <v>1024</v>
      </c>
      <c r="D27">
        <v>-2.3218767857699998</v>
      </c>
      <c r="E27">
        <f>D27-D$3</f>
        <v>-6.4182442999971556E-4</v>
      </c>
      <c r="F27">
        <f t="shared" si="0"/>
        <v>-6.4182442999971556E-4</v>
      </c>
      <c r="H27" s="1">
        <f t="shared" si="4"/>
        <v>1024</v>
      </c>
      <c r="I27">
        <v>-1.4092251816500001</v>
      </c>
      <c r="J27">
        <f>I27-I$3</f>
        <v>-3.8742773400000097E-3</v>
      </c>
      <c r="K27">
        <f t="shared" si="1"/>
        <v>0.99612572265999999</v>
      </c>
      <c r="M27" s="1">
        <f t="shared" si="5"/>
        <v>1024</v>
      </c>
      <c r="N27">
        <v>-0.43285002240699999</v>
      </c>
      <c r="O27">
        <f>N27-N$3</f>
        <v>-7.6392143069999863E-3</v>
      </c>
      <c r="P27">
        <f t="shared" si="2"/>
        <v>1.9923607856930001</v>
      </c>
    </row>
    <row r="28" spans="3:16" x14ac:dyDescent="0.3">
      <c r="C28" s="1">
        <f t="shared" si="3"/>
        <v>2048</v>
      </c>
      <c r="D28">
        <v>-2.3223816285300001</v>
      </c>
      <c r="E28">
        <f>D28-D$3</f>
        <v>-1.1466671900000058E-3</v>
      </c>
      <c r="F28">
        <f t="shared" si="0"/>
        <v>-1.1466671900000058E-3</v>
      </c>
      <c r="H28" s="1">
        <f t="shared" si="4"/>
        <v>2048</v>
      </c>
      <c r="I28">
        <v>-1.4116058950699999</v>
      </c>
      <c r="J28">
        <f>I28-I$3</f>
        <v>-6.2549907599998011E-3</v>
      </c>
      <c r="K28">
        <f t="shared" si="1"/>
        <v>0.9937450092400002</v>
      </c>
      <c r="M28" s="1">
        <f t="shared" si="5"/>
        <v>2048</v>
      </c>
      <c r="N28">
        <v>-0.43635871442399998</v>
      </c>
      <c r="O28">
        <f>N28-N$3</f>
        <v>-1.1147906323999979E-2</v>
      </c>
      <c r="P28">
        <f t="shared" si="2"/>
        <v>1.9888520936759999</v>
      </c>
    </row>
    <row r="29" spans="3:16" x14ac:dyDescent="0.3">
      <c r="C29" s="1">
        <f t="shared" si="3"/>
        <v>4096</v>
      </c>
      <c r="D29">
        <v>-2.3232035045199999</v>
      </c>
      <c r="E29">
        <f>D29-D$3</f>
        <v>-1.9685431799998376E-3</v>
      </c>
      <c r="F29">
        <f t="shared" si="0"/>
        <v>-1.9685431799998376E-3</v>
      </c>
      <c r="H29" s="1">
        <f t="shared" si="4"/>
        <v>4096</v>
      </c>
      <c r="I29">
        <v>-1.4150340131900001</v>
      </c>
      <c r="J29">
        <f>I29-I$3</f>
        <v>-9.6831088800000131E-3</v>
      </c>
      <c r="K29">
        <f t="shared" si="1"/>
        <v>0.99031689111999999</v>
      </c>
      <c r="M29" s="1">
        <f t="shared" si="5"/>
        <v>4096</v>
      </c>
      <c r="N29">
        <v>-0.44089784462699999</v>
      </c>
      <c r="O29">
        <f>N29-N$3</f>
        <v>-1.5687036526999987E-2</v>
      </c>
      <c r="P29">
        <f t="shared" si="2"/>
        <v>1.9843129634730001</v>
      </c>
    </row>
    <row r="30" spans="3:16" x14ac:dyDescent="0.3">
      <c r="C30" s="1">
        <f t="shared" si="3"/>
        <v>8192</v>
      </c>
      <c r="D30">
        <v>-2.3244779773799999</v>
      </c>
      <c r="E30">
        <f>D30-D$3</f>
        <v>-3.2430160399998798E-3</v>
      </c>
      <c r="F30">
        <f t="shared" si="0"/>
        <v>-3.2430160399998798E-3</v>
      </c>
      <c r="H30" s="1">
        <f t="shared" si="4"/>
        <v>8192</v>
      </c>
      <c r="I30">
        <v>-1.41974921542</v>
      </c>
      <c r="J30">
        <f>I30-I$3</f>
        <v>-1.4398311109999895E-2</v>
      </c>
      <c r="K30">
        <f t="shared" si="1"/>
        <v>0.9856016888900001</v>
      </c>
      <c r="M30" s="1">
        <f t="shared" si="5"/>
        <v>8192</v>
      </c>
      <c r="N30">
        <v>-0.44651412505799998</v>
      </c>
      <c r="O30">
        <f>N30-N$3</f>
        <v>-2.1303316957999974E-2</v>
      </c>
      <c r="P30">
        <f t="shared" si="2"/>
        <v>1.9786966830420001</v>
      </c>
    </row>
    <row r="31" spans="3:16" x14ac:dyDescent="0.3">
      <c r="C31" s="1">
        <f t="shared" si="3"/>
        <v>16384</v>
      </c>
      <c r="D31">
        <v>-2.3263587914300001</v>
      </c>
      <c r="E31">
        <f>D31-D$3</f>
        <v>-5.1238300900000588E-3</v>
      </c>
      <c r="F31">
        <f t="shared" si="0"/>
        <v>-5.1238300900000588E-3</v>
      </c>
      <c r="H31" s="1">
        <f t="shared" si="4"/>
        <v>16384</v>
      </c>
      <c r="I31">
        <v>-1.42593978065</v>
      </c>
      <c r="J31">
        <f>I31-I$3</f>
        <v>-2.0588876339999951E-2</v>
      </c>
      <c r="K31">
        <f t="shared" si="1"/>
        <v>0.97941112366000005</v>
      </c>
      <c r="M31" s="1">
        <f t="shared" si="5"/>
        <v>16384</v>
      </c>
      <c r="N31">
        <v>-0.45315522114000001</v>
      </c>
      <c r="O31">
        <f>N31-N$3</f>
        <v>-2.7944413040000005E-2</v>
      </c>
      <c r="P31">
        <f t="shared" si="2"/>
        <v>1.9720555869600001</v>
      </c>
    </row>
    <row r="32" spans="3:16" x14ac:dyDescent="0.3">
      <c r="C32" s="1">
        <f t="shared" si="3"/>
        <v>32768</v>
      </c>
      <c r="D32">
        <v>-2.3290052137199999</v>
      </c>
      <c r="E32">
        <f>D32-D$3</f>
        <v>-7.7702523799998424E-3</v>
      </c>
      <c r="F32">
        <f t="shared" si="0"/>
        <v>-7.7702523799998424E-3</v>
      </c>
      <c r="H32" s="1">
        <f t="shared" si="4"/>
        <v>32768</v>
      </c>
      <c r="I32">
        <v>-1.43369378228</v>
      </c>
      <c r="J32">
        <f>I32-I$3</f>
        <v>-2.8342877969999902E-2</v>
      </c>
      <c r="K32">
        <f t="shared" si="1"/>
        <v>0.9716571220300001</v>
      </c>
      <c r="M32" s="1">
        <f t="shared" si="5"/>
        <v>32768</v>
      </c>
      <c r="N32">
        <v>-0.46437835638000002</v>
      </c>
      <c r="O32">
        <f>N32-N$3</f>
        <v>-3.916754828000002E-2</v>
      </c>
      <c r="P32">
        <f t="shared" si="2"/>
        <v>1.96083245172</v>
      </c>
    </row>
    <row r="33" spans="3:16" x14ac:dyDescent="0.3">
      <c r="C33" s="1">
        <f t="shared" si="3"/>
        <v>65536</v>
      </c>
      <c r="D33">
        <v>-2.3325532465699998</v>
      </c>
      <c r="E33">
        <f>D33-D$3</f>
        <v>-1.131828522999978E-2</v>
      </c>
      <c r="F33">
        <f t="shared" si="0"/>
        <v>-1.131828522999978E-2</v>
      </c>
      <c r="H33" s="1">
        <f t="shared" si="4"/>
        <v>65536</v>
      </c>
      <c r="I33">
        <v>-1.4429465833999999</v>
      </c>
      <c r="J33">
        <f>I33-I$3</f>
        <v>-3.7595679089999834E-2</v>
      </c>
      <c r="K33">
        <f t="shared" si="1"/>
        <v>0.96240432091000017</v>
      </c>
      <c r="M33" s="1">
        <f t="shared" si="5"/>
        <v>65536</v>
      </c>
      <c r="N33">
        <v>-0.48098949835900001</v>
      </c>
      <c r="O33">
        <f>N33-N$3</f>
        <v>-5.5778690259000008E-2</v>
      </c>
      <c r="P33">
        <f t="shared" si="2"/>
        <v>1.9442213097409999</v>
      </c>
    </row>
    <row r="34" spans="3:16" x14ac:dyDescent="0.3">
      <c r="C34" s="1">
        <f t="shared" si="3"/>
        <v>131072</v>
      </c>
      <c r="D34">
        <v>-2.3370838700399998</v>
      </c>
      <c r="E34">
        <f>D34-D$3</f>
        <v>-1.5848908699999775E-2</v>
      </c>
      <c r="F34">
        <f t="shared" si="0"/>
        <v>-1.5848908699999775E-2</v>
      </c>
      <c r="H34" s="1">
        <f t="shared" si="4"/>
        <v>131072</v>
      </c>
      <c r="I34">
        <v>-1.45346035961</v>
      </c>
      <c r="J34">
        <f>I34-I$3</f>
        <v>-4.8109455299999881E-2</v>
      </c>
      <c r="K34">
        <f t="shared" si="1"/>
        <v>0.95189054470000012</v>
      </c>
      <c r="M34" s="1">
        <f t="shared" si="5"/>
        <v>131072</v>
      </c>
      <c r="N34">
        <v>-0.49803517744699999</v>
      </c>
      <c r="O34">
        <f>N34-N$3</f>
        <v>-7.2824369346999984E-2</v>
      </c>
      <c r="P34">
        <f t="shared" si="2"/>
        <v>1.9271756306530001</v>
      </c>
    </row>
    <row r="35" spans="3:16" x14ac:dyDescent="0.3">
      <c r="C35" s="1">
        <f t="shared" si="3"/>
        <v>262144</v>
      </c>
      <c r="D35">
        <v>-2.3425901123099999</v>
      </c>
      <c r="E35">
        <f>D35-D$3</f>
        <v>-2.1355150969999848E-2</v>
      </c>
      <c r="F35">
        <f t="shared" si="0"/>
        <v>-2.1355150969999848E-2</v>
      </c>
      <c r="H35" s="1">
        <f t="shared" si="4"/>
        <v>262144</v>
      </c>
      <c r="I35">
        <v>-1.46484626159</v>
      </c>
      <c r="J35">
        <f>I35-I$3</f>
        <v>-5.9495357279999883E-2</v>
      </c>
      <c r="K35">
        <f t="shared" si="1"/>
        <v>0.94050464272000012</v>
      </c>
      <c r="M35" s="1">
        <f t="shared" si="5"/>
        <v>262144</v>
      </c>
      <c r="N35">
        <v>-0.51480983721100004</v>
      </c>
      <c r="O35">
        <f>N35-N$3</f>
        <v>-8.9599029111000039E-2</v>
      </c>
      <c r="P35">
        <f t="shared" si="2"/>
        <v>1.910400970889</v>
      </c>
    </row>
    <row r="36" spans="3:16" x14ac:dyDescent="0.3">
      <c r="C36" s="1">
        <f t="shared" si="3"/>
        <v>524288</v>
      </c>
      <c r="D36">
        <v>-2.3556714560900001</v>
      </c>
      <c r="E36">
        <f>D36-D$3</f>
        <v>-3.4436494749999991E-2</v>
      </c>
      <c r="F36">
        <f t="shared" si="0"/>
        <v>-3.4436494749999991E-2</v>
      </c>
      <c r="H36" s="1">
        <f t="shared" si="4"/>
        <v>524288</v>
      </c>
      <c r="I36">
        <v>-1.47662051145</v>
      </c>
      <c r="J36">
        <f>I36-I$3</f>
        <v>-7.1269607139999858E-2</v>
      </c>
      <c r="K36">
        <f t="shared" si="1"/>
        <v>0.92873039286000014</v>
      </c>
      <c r="M36" s="1">
        <f t="shared" si="5"/>
        <v>524288</v>
      </c>
      <c r="N36">
        <v>-0.53069661698000004</v>
      </c>
      <c r="O36">
        <f>N36-N$3</f>
        <v>-0.10548580888000003</v>
      </c>
      <c r="P36">
        <f t="shared" si="2"/>
        <v>1.8945141911199999</v>
      </c>
    </row>
    <row r="37" spans="3:16" x14ac:dyDescent="0.3">
      <c r="C37" s="1">
        <f t="shared" si="3"/>
        <v>1048576</v>
      </c>
      <c r="D37">
        <v>-2.3702976949500001</v>
      </c>
      <c r="E37">
        <f>D37-D$3</f>
        <v>-4.906273361000002E-2</v>
      </c>
      <c r="F37">
        <f t="shared" si="0"/>
        <v>-4.906273361000002E-2</v>
      </c>
      <c r="H37" s="1">
        <f t="shared" si="4"/>
        <v>1048576</v>
      </c>
      <c r="I37">
        <v>-1.4910492312500001</v>
      </c>
      <c r="J37">
        <f>I37-I$3</f>
        <v>-8.5698326940000014E-2</v>
      </c>
      <c r="K37">
        <f t="shared" si="1"/>
        <v>0.91430167305999999</v>
      </c>
      <c r="M37" s="1">
        <f t="shared" si="5"/>
        <v>1048576</v>
      </c>
      <c r="N37">
        <v>-0.54777698240100003</v>
      </c>
      <c r="O37">
        <f>N37-N$3</f>
        <v>-0.12256617430100003</v>
      </c>
      <c r="P37">
        <f t="shared" si="2"/>
        <v>1.877433825699</v>
      </c>
    </row>
    <row r="38" spans="3:16" x14ac:dyDescent="0.3">
      <c r="C38" s="1">
        <f t="shared" si="3"/>
        <v>2097152</v>
      </c>
      <c r="D38">
        <v>-2.3855047642299998</v>
      </c>
      <c r="E38">
        <f>D38-D$3</f>
        <v>-6.4269802889999728E-2</v>
      </c>
      <c r="F38">
        <f t="shared" si="0"/>
        <v>-6.4269802889999728E-2</v>
      </c>
      <c r="H38" s="1">
        <f t="shared" si="4"/>
        <v>2097152</v>
      </c>
      <c r="I38">
        <v>-1.51401542804</v>
      </c>
      <c r="J38">
        <f>I38-I$3</f>
        <v>-0.10866452372999991</v>
      </c>
      <c r="K38">
        <f t="shared" si="1"/>
        <v>0.89133547627000009</v>
      </c>
      <c r="M38" s="1">
        <f t="shared" si="5"/>
        <v>2097152</v>
      </c>
      <c r="N38">
        <v>-0.57430181231900002</v>
      </c>
      <c r="O38">
        <f>N38-N$3</f>
        <v>-0.14909100421900001</v>
      </c>
      <c r="P38">
        <f t="shared" si="2"/>
        <v>1.8509089957809999</v>
      </c>
    </row>
    <row r="39" spans="3:16" x14ac:dyDescent="0.3">
      <c r="C39" s="1">
        <f t="shared" si="3"/>
        <v>4194304</v>
      </c>
      <c r="D39">
        <v>-2.40060193409</v>
      </c>
      <c r="E39">
        <f>D39-D$3</f>
        <v>-7.9366972749999931E-2</v>
      </c>
      <c r="F39">
        <f t="shared" si="0"/>
        <v>-7.9366972749999931E-2</v>
      </c>
      <c r="H39" s="1">
        <f t="shared" si="4"/>
        <v>4194304</v>
      </c>
      <c r="I39">
        <v>-1.5348784417500001</v>
      </c>
      <c r="J39">
        <f>I39-I$3</f>
        <v>-0.12952753744000001</v>
      </c>
      <c r="K39">
        <f t="shared" si="1"/>
        <v>0.87047246255999999</v>
      </c>
      <c r="M39" s="1">
        <f t="shared" si="5"/>
        <v>4194304</v>
      </c>
      <c r="N39">
        <v>-0.59704958171199995</v>
      </c>
      <c r="O39">
        <f>N39-N$3</f>
        <v>-0.17183877361199995</v>
      </c>
      <c r="P39">
        <f t="shared" si="2"/>
        <v>1.828161226388</v>
      </c>
    </row>
    <row r="40" spans="3:16" x14ac:dyDescent="0.3">
      <c r="C40" s="1">
        <f t="shared" si="3"/>
        <v>8388608</v>
      </c>
      <c r="D40">
        <v>-2.4149753255899999</v>
      </c>
      <c r="E40">
        <f>D40-D$3</f>
        <v>-9.3740364249999875E-2</v>
      </c>
      <c r="F40">
        <f t="shared" si="0"/>
        <v>-9.3740364249999875E-2</v>
      </c>
      <c r="H40" s="1">
        <f t="shared" si="4"/>
        <v>8388608</v>
      </c>
      <c r="I40">
        <v>-1.5532633711199999</v>
      </c>
      <c r="J40">
        <f>I40-I$3</f>
        <v>-0.14791246680999981</v>
      </c>
      <c r="K40">
        <f t="shared" si="1"/>
        <v>0.85208753319000019</v>
      </c>
      <c r="M40" s="1">
        <f t="shared" si="5"/>
        <v>8388608</v>
      </c>
      <c r="N40">
        <v>-0.61619333720000002</v>
      </c>
      <c r="O40">
        <f>N40-N$3</f>
        <v>-0.19098252910000002</v>
      </c>
      <c r="P40">
        <f t="shared" si="2"/>
        <v>1.8090174709</v>
      </c>
    </row>
    <row r="41" spans="3:16" x14ac:dyDescent="0.3">
      <c r="C41" s="1">
        <f t="shared" si="3"/>
        <v>16777216</v>
      </c>
      <c r="D41">
        <v>-2.4281691866499999</v>
      </c>
      <c r="E41">
        <f>D41-D$3</f>
        <v>-0.10693422530999985</v>
      </c>
      <c r="F41">
        <f t="shared" si="0"/>
        <v>-0.10693422530999985</v>
      </c>
      <c r="H41" s="1">
        <f t="shared" si="4"/>
        <v>16777216</v>
      </c>
      <c r="I41">
        <v>-1.56907674454</v>
      </c>
      <c r="J41">
        <f>I41-I$3</f>
        <v>-0.16372584022999992</v>
      </c>
      <c r="K41">
        <f t="shared" si="1"/>
        <v>0.83627415977000008</v>
      </c>
      <c r="M41" s="1">
        <f t="shared" si="5"/>
        <v>16777216</v>
      </c>
      <c r="N41">
        <v>-0.63585189387899999</v>
      </c>
      <c r="O41">
        <f>N41-N$3</f>
        <v>-0.21064108577899998</v>
      </c>
      <c r="P41">
        <f t="shared" si="2"/>
        <v>1.789358914221</v>
      </c>
    </row>
    <row r="42" spans="3:16" x14ac:dyDescent="0.3">
      <c r="C42" s="1">
        <f t="shared" si="3"/>
        <v>33554432</v>
      </c>
      <c r="D42">
        <v>-2.45358315975</v>
      </c>
      <c r="E42">
        <f>D42-D$3</f>
        <v>-0.1323481984099999</v>
      </c>
      <c r="F42">
        <f t="shared" si="0"/>
        <v>-0.1323481984099999</v>
      </c>
      <c r="H42" s="1">
        <f t="shared" si="4"/>
        <v>33554432</v>
      </c>
      <c r="I42">
        <v>-1.59628002826</v>
      </c>
      <c r="J42">
        <f>I42-I$3</f>
        <v>-0.19092912394999995</v>
      </c>
      <c r="K42">
        <f t="shared" si="1"/>
        <v>0.80907087605000005</v>
      </c>
      <c r="M42" s="1">
        <f t="shared" si="5"/>
        <v>33554432</v>
      </c>
      <c r="N42">
        <v>-0.66402000844200004</v>
      </c>
      <c r="O42">
        <f>N42-N$3</f>
        <v>-0.23880920034200004</v>
      </c>
      <c r="P42">
        <f t="shared" si="2"/>
        <v>1.7611907996579999</v>
      </c>
    </row>
    <row r="43" spans="3:16" x14ac:dyDescent="0.3">
      <c r="C43" s="1">
        <f t="shared" si="3"/>
        <v>67108864</v>
      </c>
      <c r="D43">
        <v>-2.4743095726300002</v>
      </c>
      <c r="E43">
        <f>D43-D$3</f>
        <v>-0.15307461129000011</v>
      </c>
      <c r="F43">
        <f t="shared" si="0"/>
        <v>-0.15307461129000011</v>
      </c>
      <c r="H43" s="1">
        <f t="shared" si="4"/>
        <v>67108864</v>
      </c>
      <c r="I43">
        <v>-1.6195631828099999</v>
      </c>
      <c r="J43">
        <f>I43-I$3</f>
        <v>-0.2142122784999998</v>
      </c>
      <c r="K43">
        <f t="shared" si="1"/>
        <v>0.7857877215000002</v>
      </c>
      <c r="M43" s="1">
        <f t="shared" si="5"/>
        <v>67108864</v>
      </c>
      <c r="N43">
        <v>-0.68533685313600001</v>
      </c>
      <c r="O43">
        <f>N43-N$3</f>
        <v>-0.26012604503600001</v>
      </c>
      <c r="P43">
        <f t="shared" si="2"/>
        <v>1.7398739549640001</v>
      </c>
    </row>
    <row r="44" spans="3:16" x14ac:dyDescent="0.3">
      <c r="C44" s="1">
        <f t="shared" si="3"/>
        <v>134217728</v>
      </c>
      <c r="D44">
        <v>-2.4970754227600001</v>
      </c>
      <c r="E44">
        <f>D44-D$3</f>
        <v>-0.17584046141999998</v>
      </c>
      <c r="F44">
        <f t="shared" si="0"/>
        <v>-0.17584046141999998</v>
      </c>
      <c r="H44" s="1">
        <f t="shared" si="4"/>
        <v>134217728</v>
      </c>
      <c r="I44">
        <v>-1.6425010118200001</v>
      </c>
      <c r="J44">
        <f>I44-I$3</f>
        <v>-0.23715010750999999</v>
      </c>
      <c r="K44">
        <f t="shared" si="1"/>
        <v>0.76284989249000001</v>
      </c>
      <c r="M44" s="1">
        <f t="shared" si="5"/>
        <v>134217728</v>
      </c>
      <c r="N44">
        <v>-0.70826970532300004</v>
      </c>
      <c r="O44">
        <f>N44-N$3</f>
        <v>-0.28305889722300004</v>
      </c>
      <c r="P44">
        <f t="shared" si="2"/>
        <v>1.7169411027770001</v>
      </c>
    </row>
    <row r="45" spans="3:16" x14ac:dyDescent="0.3">
      <c r="C45" s="1">
        <f t="shared" si="3"/>
        <v>268435456</v>
      </c>
      <c r="D45">
        <v>-2.51099376717</v>
      </c>
      <c r="E45">
        <f>D45-D$3</f>
        <v>-0.18975880582999993</v>
      </c>
      <c r="F45">
        <f t="shared" si="0"/>
        <v>-0.18975880582999993</v>
      </c>
      <c r="H45" s="1">
        <f t="shared" si="4"/>
        <v>268435456</v>
      </c>
      <c r="I45">
        <v>-1.6562643675099999</v>
      </c>
      <c r="J45">
        <f>I45-I$3</f>
        <v>-0.25091346319999985</v>
      </c>
      <c r="K45">
        <f t="shared" si="1"/>
        <v>0.74908653680000015</v>
      </c>
      <c r="M45" s="1">
        <f t="shared" si="5"/>
        <v>268435456</v>
      </c>
      <c r="N45">
        <v>-0.73184369283499995</v>
      </c>
      <c r="O45">
        <f>N45-N$3</f>
        <v>-0.30663288473499994</v>
      </c>
      <c r="P45">
        <f t="shared" si="2"/>
        <v>1.6933671152650001</v>
      </c>
    </row>
    <row r="46" spans="3:16" x14ac:dyDescent="0.3">
      <c r="C46" s="1">
        <f t="shared" si="3"/>
        <v>536870912</v>
      </c>
      <c r="D46">
        <v>-2.5323122408700001</v>
      </c>
      <c r="E46">
        <f>D46-D$3</f>
        <v>-0.21107727952999999</v>
      </c>
      <c r="F46">
        <f t="shared" si="0"/>
        <v>-0.21107727952999999</v>
      </c>
      <c r="H46" s="1">
        <f t="shared" si="4"/>
        <v>536870912</v>
      </c>
      <c r="I46">
        <v>-1.68136472393</v>
      </c>
      <c r="J46">
        <f>I46-I$3</f>
        <v>-0.27601381961999993</v>
      </c>
      <c r="K46">
        <f t="shared" si="1"/>
        <v>0.72398618038000007</v>
      </c>
      <c r="M46" s="1">
        <f t="shared" si="5"/>
        <v>536870912</v>
      </c>
      <c r="N46">
        <v>-0.75571113461399997</v>
      </c>
      <c r="O46">
        <f>N46-N$3</f>
        <v>-0.33050032651399996</v>
      </c>
      <c r="P46">
        <f t="shared" si="2"/>
        <v>1.6694996734859999</v>
      </c>
    </row>
    <row r="47" spans="3:16" x14ac:dyDescent="0.3">
      <c r="C47" s="1">
        <f t="shared" si="3"/>
        <v>1073741824</v>
      </c>
      <c r="D47">
        <v>-2.55161671232</v>
      </c>
      <c r="E47">
        <f>D47-D$3</f>
        <v>-0.23038175097999991</v>
      </c>
      <c r="F47">
        <f t="shared" si="0"/>
        <v>-0.23038175097999991</v>
      </c>
      <c r="H47" s="1">
        <f t="shared" si="4"/>
        <v>1073741824</v>
      </c>
      <c r="I47">
        <v>-1.70139915173</v>
      </c>
      <c r="J47">
        <f>I47-I$3</f>
        <v>-0.29604824741999991</v>
      </c>
      <c r="K47">
        <f t="shared" si="1"/>
        <v>0.70395175258000009</v>
      </c>
      <c r="M47" s="1">
        <f t="shared" si="5"/>
        <v>1073741824</v>
      </c>
      <c r="N47">
        <v>-0.77738493052400004</v>
      </c>
      <c r="O47">
        <f>N47-N$3</f>
        <v>-0.35217412242400004</v>
      </c>
      <c r="P47">
        <f t="shared" si="2"/>
        <v>1.647825877576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MYUNG JIN</dc:creator>
  <cp:lastModifiedBy>MYUNG JIN</cp:lastModifiedBy>
  <dcterms:created xsi:type="dcterms:W3CDTF">2026-01-26T12:50:43Z</dcterms:created>
  <dcterms:modified xsi:type="dcterms:W3CDTF">2026-01-26T13:02:08Z</dcterms:modified>
</cp:coreProperties>
</file>
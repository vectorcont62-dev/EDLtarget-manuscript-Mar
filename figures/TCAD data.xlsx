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Desktop_offline\TCADtarget-manuscript-Jan\figures\"/>
    </mc:Choice>
  </mc:AlternateContent>
  <xr:revisionPtr revIDLastSave="0" documentId="13_ncr:1_{C8D3CC48-491B-4112-8E84-3AEEE778F509}" xr6:coauthVersionLast="47" xr6:coauthVersionMax="47" xr10:uidLastSave="{00000000-0000-0000-0000-000000000000}"/>
  <bookViews>
    <workbookView xWindow="-120" yWindow="-120" windowWidth="38640" windowHeight="21120" xr2:uid="{6E1D205E-5548-4B10-8EA6-16E0E10C324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44" i="1" s="1"/>
  <c r="L44" i="1" s="1"/>
  <c r="P3" i="1"/>
  <c r="O20" i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I20" i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C20" i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D3" i="1"/>
  <c r="E8" i="1" s="1"/>
  <c r="F8" i="1" s="1"/>
  <c r="Q47" i="1" l="1"/>
  <c r="R47" i="1" s="1"/>
  <c r="Q26" i="1"/>
  <c r="R26" i="1" s="1"/>
  <c r="K25" i="1"/>
  <c r="L25" i="1" s="1"/>
  <c r="E5" i="1"/>
  <c r="F5" i="1" s="1"/>
  <c r="E31" i="1"/>
  <c r="F31" i="1" s="1"/>
  <c r="E30" i="1"/>
  <c r="F30" i="1" s="1"/>
  <c r="E29" i="1"/>
  <c r="F29" i="1" s="1"/>
  <c r="E6" i="1"/>
  <c r="F6" i="1" s="1"/>
  <c r="K47" i="1"/>
  <c r="L47" i="1" s="1"/>
  <c r="E7" i="1"/>
  <c r="F7" i="1" s="1"/>
  <c r="Q3" i="1"/>
  <c r="R3" i="1" s="1"/>
  <c r="K21" i="1"/>
  <c r="L21" i="1" s="1"/>
  <c r="K24" i="1"/>
  <c r="L24" i="1" s="1"/>
  <c r="Q24" i="1"/>
  <c r="R24" i="1" s="1"/>
  <c r="K22" i="1"/>
  <c r="L22" i="1" s="1"/>
  <c r="K23" i="1"/>
  <c r="L23" i="1" s="1"/>
  <c r="K45" i="1"/>
  <c r="L45" i="1" s="1"/>
  <c r="K46" i="1"/>
  <c r="L46" i="1" s="1"/>
  <c r="Q25" i="1"/>
  <c r="R25" i="1" s="1"/>
  <c r="Q27" i="1"/>
  <c r="R27" i="1" s="1"/>
  <c r="K27" i="1"/>
  <c r="L27" i="1" s="1"/>
  <c r="E24" i="1"/>
  <c r="F24" i="1" s="1"/>
  <c r="E23" i="1"/>
  <c r="F23" i="1" s="1"/>
  <c r="K30" i="1"/>
  <c r="L30" i="1" s="1"/>
  <c r="K7" i="1"/>
  <c r="L7" i="1" s="1"/>
  <c r="K8" i="1"/>
  <c r="L8" i="1" s="1"/>
  <c r="E19" i="1"/>
  <c r="F19" i="1" s="1"/>
  <c r="E42" i="1"/>
  <c r="F42" i="1" s="1"/>
  <c r="K11" i="1"/>
  <c r="L11" i="1" s="1"/>
  <c r="E15" i="1"/>
  <c r="F15" i="1" s="1"/>
  <c r="Q16" i="1"/>
  <c r="R16" i="1" s="1"/>
  <c r="Q40" i="1"/>
  <c r="R40" i="1" s="1"/>
  <c r="K28" i="1"/>
  <c r="L28" i="1" s="1"/>
  <c r="E47" i="1"/>
  <c r="F47" i="1" s="1"/>
  <c r="Q33" i="1"/>
  <c r="R33" i="1" s="1"/>
  <c r="Q35" i="1"/>
  <c r="R35" i="1" s="1"/>
  <c r="Q13" i="1"/>
  <c r="R13" i="1" s="1"/>
  <c r="E41" i="1"/>
  <c r="F41" i="1" s="1"/>
  <c r="E40" i="1"/>
  <c r="F40" i="1" s="1"/>
  <c r="E16" i="1"/>
  <c r="F16" i="1" s="1"/>
  <c r="K37" i="1"/>
  <c r="L37" i="1" s="1"/>
  <c r="E38" i="1"/>
  <c r="F38" i="1" s="1"/>
  <c r="E14" i="1"/>
  <c r="F14" i="1" s="1"/>
  <c r="K14" i="1"/>
  <c r="L14" i="1" s="1"/>
  <c r="K38" i="1"/>
  <c r="L38" i="1" s="1"/>
  <c r="Q17" i="1"/>
  <c r="R17" i="1" s="1"/>
  <c r="Q41" i="1"/>
  <c r="R41" i="1" s="1"/>
  <c r="Q4" i="1"/>
  <c r="R4" i="1" s="1"/>
  <c r="Q5" i="1"/>
  <c r="R5" i="1" s="1"/>
  <c r="E25" i="1"/>
  <c r="F25" i="1" s="1"/>
  <c r="E3" i="1"/>
  <c r="F3" i="1" s="1"/>
  <c r="Q7" i="1"/>
  <c r="R7" i="1" s="1"/>
  <c r="Q9" i="1"/>
  <c r="R9" i="1" s="1"/>
  <c r="K31" i="1"/>
  <c r="L31" i="1" s="1"/>
  <c r="E44" i="1"/>
  <c r="F44" i="1" s="1"/>
  <c r="K32" i="1"/>
  <c r="L32" i="1" s="1"/>
  <c r="K9" i="1"/>
  <c r="L9" i="1" s="1"/>
  <c r="K34" i="1"/>
  <c r="L34" i="1" s="1"/>
  <c r="E17" i="1"/>
  <c r="F17" i="1" s="1"/>
  <c r="Q15" i="1"/>
  <c r="R15" i="1" s="1"/>
  <c r="K13" i="1"/>
  <c r="L13" i="1" s="1"/>
  <c r="E37" i="1"/>
  <c r="F37" i="1" s="1"/>
  <c r="E13" i="1"/>
  <c r="F13" i="1" s="1"/>
  <c r="K15" i="1"/>
  <c r="L15" i="1" s="1"/>
  <c r="K39" i="1"/>
  <c r="L39" i="1" s="1"/>
  <c r="Q18" i="1"/>
  <c r="R18" i="1" s="1"/>
  <c r="Q42" i="1"/>
  <c r="R42" i="1" s="1"/>
  <c r="Q31" i="1"/>
  <c r="R31" i="1" s="1"/>
  <c r="K6" i="1"/>
  <c r="L6" i="1" s="1"/>
  <c r="Q36" i="1"/>
  <c r="R36" i="1" s="1"/>
  <c r="Q38" i="1"/>
  <c r="R38" i="1" s="1"/>
  <c r="E12" i="1"/>
  <c r="F12" i="1" s="1"/>
  <c r="K16" i="1"/>
  <c r="L16" i="1" s="1"/>
  <c r="K40" i="1"/>
  <c r="L40" i="1" s="1"/>
  <c r="Q19" i="1"/>
  <c r="R19" i="1" s="1"/>
  <c r="Q43" i="1"/>
  <c r="R43" i="1" s="1"/>
  <c r="Q29" i="1"/>
  <c r="R29" i="1" s="1"/>
  <c r="Q32" i="1"/>
  <c r="R32" i="1" s="1"/>
  <c r="E21" i="1"/>
  <c r="F21" i="1" s="1"/>
  <c r="Q12" i="1"/>
  <c r="R12" i="1" s="1"/>
  <c r="K35" i="1"/>
  <c r="L35" i="1" s="1"/>
  <c r="E35" i="1"/>
  <c r="F35" i="1" s="1"/>
  <c r="E11" i="1"/>
  <c r="F11" i="1" s="1"/>
  <c r="K17" i="1"/>
  <c r="L17" i="1" s="1"/>
  <c r="K41" i="1"/>
  <c r="L41" i="1" s="1"/>
  <c r="Q20" i="1"/>
  <c r="R20" i="1" s="1"/>
  <c r="Q44" i="1"/>
  <c r="R44" i="1" s="1"/>
  <c r="E4" i="1"/>
  <c r="F4" i="1" s="1"/>
  <c r="E26" i="1"/>
  <c r="F26" i="1" s="1"/>
  <c r="Q30" i="1"/>
  <c r="R30" i="1" s="1"/>
  <c r="K5" i="1"/>
  <c r="L5" i="1" s="1"/>
  <c r="E22" i="1"/>
  <c r="F22" i="1" s="1"/>
  <c r="Q10" i="1"/>
  <c r="R10" i="1" s="1"/>
  <c r="Q37" i="1"/>
  <c r="R37" i="1" s="1"/>
  <c r="K36" i="1"/>
  <c r="L36" i="1" s="1"/>
  <c r="E39" i="1"/>
  <c r="F39" i="1" s="1"/>
  <c r="E34" i="1"/>
  <c r="F34" i="1" s="1"/>
  <c r="E10" i="1"/>
  <c r="F10" i="1" s="1"/>
  <c r="K18" i="1"/>
  <c r="L18" i="1" s="1"/>
  <c r="K42" i="1"/>
  <c r="L42" i="1" s="1"/>
  <c r="Q21" i="1"/>
  <c r="R21" i="1" s="1"/>
  <c r="Q45" i="1"/>
  <c r="R45" i="1" s="1"/>
  <c r="E27" i="1"/>
  <c r="F27" i="1" s="1"/>
  <c r="Q28" i="1"/>
  <c r="R28" i="1" s="1"/>
  <c r="K3" i="1"/>
  <c r="L3" i="1" s="1"/>
  <c r="K4" i="1"/>
  <c r="L4" i="1" s="1"/>
  <c r="Q8" i="1"/>
  <c r="R8" i="1" s="1"/>
  <c r="Q34" i="1"/>
  <c r="R34" i="1" s="1"/>
  <c r="E20" i="1"/>
  <c r="F20" i="1" s="1"/>
  <c r="E43" i="1"/>
  <c r="F43" i="1" s="1"/>
  <c r="K33" i="1"/>
  <c r="L33" i="1" s="1"/>
  <c r="E18" i="1"/>
  <c r="F18" i="1" s="1"/>
  <c r="Q14" i="1"/>
  <c r="R14" i="1" s="1"/>
  <c r="K12" i="1"/>
  <c r="L12" i="1" s="1"/>
  <c r="E36" i="1"/>
  <c r="F36" i="1" s="1"/>
  <c r="E33" i="1"/>
  <c r="F33" i="1" s="1"/>
  <c r="E9" i="1"/>
  <c r="F9" i="1" s="1"/>
  <c r="K19" i="1"/>
  <c r="L19" i="1" s="1"/>
  <c r="K43" i="1"/>
  <c r="L43" i="1" s="1"/>
  <c r="Q22" i="1"/>
  <c r="R22" i="1" s="1"/>
  <c r="Q46" i="1"/>
  <c r="R46" i="1" s="1"/>
  <c r="E28" i="1"/>
  <c r="F28" i="1" s="1"/>
  <c r="K26" i="1"/>
  <c r="L26" i="1" s="1"/>
  <c r="Q6" i="1"/>
  <c r="R6" i="1" s="1"/>
  <c r="K29" i="1"/>
  <c r="L29" i="1" s="1"/>
  <c r="E46" i="1"/>
  <c r="F46" i="1" s="1"/>
  <c r="E45" i="1"/>
  <c r="F45" i="1" s="1"/>
  <c r="Q11" i="1"/>
  <c r="R11" i="1" s="1"/>
  <c r="K10" i="1"/>
  <c r="L10" i="1" s="1"/>
  <c r="Q39" i="1"/>
  <c r="R39" i="1" s="1"/>
  <c r="E32" i="1"/>
  <c r="F32" i="1" s="1"/>
  <c r="K20" i="1"/>
  <c r="L20" i="1" s="1"/>
  <c r="Q23" i="1"/>
  <c r="R23" i="1" s="1"/>
</calcChain>
</file>

<file path=xl/sharedStrings.xml><?xml version="1.0" encoding="utf-8"?>
<sst xmlns="http://schemas.openxmlformats.org/spreadsheetml/2006/main" count="18" uniqueCount="12">
  <si>
    <t>time</t>
    <phoneticPr fontId="1" type="noConversion"/>
  </si>
  <si>
    <t>Vt raw</t>
    <phoneticPr fontId="1" type="noConversion"/>
  </si>
  <si>
    <t>DVt</t>
    <phoneticPr fontId="1" type="noConversion"/>
  </si>
  <si>
    <t>0V</t>
    <phoneticPr fontId="1" type="noConversion"/>
  </si>
  <si>
    <t>Vpgm = 18.6 V</t>
    <phoneticPr fontId="1" type="noConversion"/>
  </si>
  <si>
    <t>5/6/8</t>
    <phoneticPr fontId="1" type="noConversion"/>
  </si>
  <si>
    <t>O/N/O</t>
    <phoneticPr fontId="1" type="noConversion"/>
  </si>
  <si>
    <t>tpgm =10 us</t>
    <phoneticPr fontId="1" type="noConversion"/>
  </si>
  <si>
    <t>1V</t>
    <phoneticPr fontId="1" type="noConversion"/>
  </si>
  <si>
    <t>2V</t>
    <phoneticPr fontId="1" type="noConversion"/>
  </si>
  <si>
    <t>Vpgm = 20.5V</t>
    <phoneticPr fontId="1" type="noConversion"/>
  </si>
  <si>
    <t>Vpgm = 19.6V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</si>
</sst>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Sheet1!$L$1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Sheet1!$I$2:$I$47</c:f>
              <c:strCache>
                <c:ptCount val="46"/>
                <c:pt idx="0">
                  <c:v>time</c:v>
                </c:pt>
                <c:pt idx="1">
                  <c:v>1.00E-12</c:v>
                </c:pt>
                <c:pt idx="2">
                  <c:v>0</c:v>
                </c:pt>
                <c:pt idx="3">
                  <c:v>1.00E-11</c:v>
                </c:pt>
                <c:pt idx="4">
                  <c:v>1.00E-10</c:v>
                </c:pt>
                <c:pt idx="5">
                  <c:v>1.00E-08</c:v>
                </c:pt>
                <c:pt idx="6">
                  <c:v>1.00E-07</c:v>
                </c:pt>
                <c:pt idx="7">
                  <c:v>1.00E-06</c:v>
                </c:pt>
                <c:pt idx="8">
                  <c:v>1.00E-05</c:v>
                </c:pt>
                <c:pt idx="9">
                  <c:v>1.00E-04</c:v>
                </c:pt>
                <c:pt idx="10">
                  <c:v>1.00E-03</c:v>
                </c:pt>
                <c:pt idx="11">
                  <c:v>1.00E-02</c:v>
                </c:pt>
                <c:pt idx="12">
                  <c:v>1.00E-01</c:v>
                </c:pt>
                <c:pt idx="13">
                  <c:v>2.00E-01</c:v>
                </c:pt>
                <c:pt idx="14">
                  <c:v>5.00E-01</c:v>
                </c:pt>
                <c:pt idx="15">
                  <c:v>1.00E+00</c:v>
                </c:pt>
                <c:pt idx="16">
                  <c:v>2.00E+00</c:v>
                </c:pt>
                <c:pt idx="17">
                  <c:v>4.00E+00</c:v>
                </c:pt>
                <c:pt idx="18">
                  <c:v>8.00E+00</c:v>
                </c:pt>
                <c:pt idx="19">
                  <c:v>1.60E+01</c:v>
                </c:pt>
                <c:pt idx="20">
                  <c:v>3.20E+01</c:v>
                </c:pt>
                <c:pt idx="21">
                  <c:v>6.40E+01</c:v>
                </c:pt>
                <c:pt idx="22">
                  <c:v>1.28E+02</c:v>
                </c:pt>
                <c:pt idx="23">
                  <c:v>2.56E+02</c:v>
                </c:pt>
                <c:pt idx="24">
                  <c:v>5.12E+02</c:v>
                </c:pt>
                <c:pt idx="25">
                  <c:v>1.02E+03</c:v>
                </c:pt>
                <c:pt idx="26">
                  <c:v>2.05E+03</c:v>
                </c:pt>
                <c:pt idx="27">
                  <c:v>4.10E+03</c:v>
                </c:pt>
                <c:pt idx="28">
                  <c:v>8.19E+03</c:v>
                </c:pt>
                <c:pt idx="29">
                  <c:v>1.64E+04</c:v>
                </c:pt>
                <c:pt idx="30">
                  <c:v>3.28E+04</c:v>
                </c:pt>
                <c:pt idx="31">
                  <c:v>6.55E+04</c:v>
                </c:pt>
                <c:pt idx="32">
                  <c:v>1.31E+05</c:v>
                </c:pt>
                <c:pt idx="33">
                  <c:v>2.62E+05</c:v>
                </c:pt>
                <c:pt idx="34">
                  <c:v>5.24E+05</c:v>
                </c:pt>
                <c:pt idx="35">
                  <c:v>1.05E+06</c:v>
                </c:pt>
                <c:pt idx="36">
                  <c:v>2.10E+06</c:v>
                </c:pt>
                <c:pt idx="37">
                  <c:v>4.19E+06</c:v>
                </c:pt>
                <c:pt idx="38">
                  <c:v>8.39E+06</c:v>
                </c:pt>
                <c:pt idx="39">
                  <c:v>1.68E+07</c:v>
                </c:pt>
                <c:pt idx="40">
                  <c:v>3.36E+07</c:v>
                </c:pt>
                <c:pt idx="41">
                  <c:v>6.71E+07</c:v>
                </c:pt>
                <c:pt idx="42">
                  <c:v>1.34E+08</c:v>
                </c:pt>
                <c:pt idx="43">
                  <c:v>2.68E+08</c:v>
                </c:pt>
                <c:pt idx="44">
                  <c:v>5.37E+08</c:v>
                </c:pt>
                <c:pt idx="45">
                  <c:v>1.07E+09</c:v>
                </c:pt>
              </c:strCache>
            </c:strRef>
          </c:xVal>
          <c:yVal>
            <c:numRef>
              <c:f>Sheet1!$L$2:$L$47</c:f>
              <c:numCache>
                <c:formatCode>General</c:formatCode>
                <c:ptCount val="46"/>
                <c:pt idx="1">
                  <c:v>1</c:v>
                </c:pt>
                <c:pt idx="2">
                  <c:v>0.99999941357999989</c:v>
                </c:pt>
                <c:pt idx="3">
                  <c:v>0.99999935444999988</c:v>
                </c:pt>
                <c:pt idx="4">
                  <c:v>0.99999935442999988</c:v>
                </c:pt>
                <c:pt idx="5">
                  <c:v>0.99999935442999988</c:v>
                </c:pt>
                <c:pt idx="6">
                  <c:v>0.99999935444999988</c:v>
                </c:pt>
                <c:pt idx="7">
                  <c:v>0.99999935441999988</c:v>
                </c:pt>
                <c:pt idx="8">
                  <c:v>0.99999935436999987</c:v>
                </c:pt>
                <c:pt idx="9">
                  <c:v>0.99999935362999981</c:v>
                </c:pt>
                <c:pt idx="10">
                  <c:v>0.99999934627999987</c:v>
                </c:pt>
                <c:pt idx="11">
                  <c:v>0.99999927282000001</c:v>
                </c:pt>
                <c:pt idx="12">
                  <c:v>0.99999853841999986</c:v>
                </c:pt>
                <c:pt idx="13">
                  <c:v>0.99999772285999988</c:v>
                </c:pt>
                <c:pt idx="14">
                  <c:v>0.99999529898999984</c:v>
                </c:pt>
                <c:pt idx="15">
                  <c:v>0.99999180059999992</c:v>
                </c:pt>
                <c:pt idx="16">
                  <c:v>0.99998311824999986</c:v>
                </c:pt>
                <c:pt idx="17">
                  <c:v>0.99996705428999988</c:v>
                </c:pt>
                <c:pt idx="18">
                  <c:v>0.99993541408999986</c:v>
                </c:pt>
                <c:pt idx="19">
                  <c:v>0.99987390965</c:v>
                </c:pt>
                <c:pt idx="20">
                  <c:v>0.99975691396999999</c:v>
                </c:pt>
                <c:pt idx="21">
                  <c:v>0.99954124254999988</c:v>
                </c:pt>
                <c:pt idx="22">
                  <c:v>0.99915903378999982</c:v>
                </c:pt>
                <c:pt idx="23">
                  <c:v>0.99851071426999982</c:v>
                </c:pt>
                <c:pt idx="24">
                  <c:v>0.99745972035999997</c:v>
                </c:pt>
                <c:pt idx="25">
                  <c:v>0.99582595482999992</c:v>
                </c:pt>
                <c:pt idx="26">
                  <c:v>0.99339431926999988</c:v>
                </c:pt>
                <c:pt idx="27">
                  <c:v>0.98992601789000001</c:v>
                </c:pt>
                <c:pt idx="28">
                  <c:v>0.98518602851999981</c:v>
                </c:pt>
                <c:pt idx="29">
                  <c:v>0.9789913778799999</c:v>
                </c:pt>
                <c:pt idx="30">
                  <c:v>0.97125967551999981</c:v>
                </c:pt>
                <c:pt idx="31">
                  <c:v>0.9620557838399999</c:v>
                </c:pt>
                <c:pt idx="32">
                  <c:v>0.95161847683</c:v>
                </c:pt>
                <c:pt idx="33">
                  <c:v>0.94033311213999982</c:v>
                </c:pt>
                <c:pt idx="34">
                  <c:v>0.92867757668999995</c:v>
                </c:pt>
                <c:pt idx="35">
                  <c:v>0.91395467515999984</c:v>
                </c:pt>
                <c:pt idx="36">
                  <c:v>0.89127062271000002</c:v>
                </c:pt>
                <c:pt idx="37">
                  <c:v>0.87067740855999998</c:v>
                </c:pt>
                <c:pt idx="38">
                  <c:v>0.85253756013999982</c:v>
                </c:pt>
                <c:pt idx="39">
                  <c:v>0.83693878275999989</c:v>
                </c:pt>
                <c:pt idx="40">
                  <c:v>0.81230407174999986</c:v>
                </c:pt>
                <c:pt idx="41">
                  <c:v>0.78808984825999984</c:v>
                </c:pt>
                <c:pt idx="42">
                  <c:v>0.76473288198999989</c:v>
                </c:pt>
                <c:pt idx="43">
                  <c:v>0.75101494575999994</c:v>
                </c:pt>
                <c:pt idx="44">
                  <c:v>0.72923979413999995</c:v>
                </c:pt>
                <c:pt idx="45">
                  <c:v>0.7085317768399999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31-4B02-A128-8CFC55410836}"/>
            </c:ext>
          </c:extLst>
        </c:ser>
        <c:ser>
          <c:idx val="1"/>
          <c:order val="1"/>
          <c:tx>
            <c:strRef>
              <c:f>Sheet1!$M$1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Sheet1!$I$2:$I$47</c:f>
              <c:strCache>
                <c:ptCount val="46"/>
                <c:pt idx="0">
                  <c:v>time</c:v>
                </c:pt>
                <c:pt idx="1">
                  <c:v>1.00E-12</c:v>
                </c:pt>
                <c:pt idx="2">
                  <c:v>0</c:v>
                </c:pt>
                <c:pt idx="3">
                  <c:v>1.00E-11</c:v>
                </c:pt>
                <c:pt idx="4">
                  <c:v>1.00E-10</c:v>
                </c:pt>
                <c:pt idx="5">
                  <c:v>1.00E-08</c:v>
                </c:pt>
                <c:pt idx="6">
                  <c:v>1.00E-07</c:v>
                </c:pt>
                <c:pt idx="7">
                  <c:v>1.00E-06</c:v>
                </c:pt>
                <c:pt idx="8">
                  <c:v>1.00E-05</c:v>
                </c:pt>
                <c:pt idx="9">
                  <c:v>1.00E-04</c:v>
                </c:pt>
                <c:pt idx="10">
                  <c:v>1.00E-03</c:v>
                </c:pt>
                <c:pt idx="11">
                  <c:v>1.00E-02</c:v>
                </c:pt>
                <c:pt idx="12">
                  <c:v>1.00E-01</c:v>
                </c:pt>
                <c:pt idx="13">
                  <c:v>2.00E-01</c:v>
                </c:pt>
                <c:pt idx="14">
                  <c:v>5.00E-01</c:v>
                </c:pt>
                <c:pt idx="15">
                  <c:v>1.00E+00</c:v>
                </c:pt>
                <c:pt idx="16">
                  <c:v>2.00E+00</c:v>
                </c:pt>
                <c:pt idx="17">
                  <c:v>4.00E+00</c:v>
                </c:pt>
                <c:pt idx="18">
                  <c:v>8.00E+00</c:v>
                </c:pt>
                <c:pt idx="19">
                  <c:v>1.60E+01</c:v>
                </c:pt>
                <c:pt idx="20">
                  <c:v>3.20E+01</c:v>
                </c:pt>
                <c:pt idx="21">
                  <c:v>6.40E+01</c:v>
                </c:pt>
                <c:pt idx="22">
                  <c:v>1.28E+02</c:v>
                </c:pt>
                <c:pt idx="23">
                  <c:v>2.56E+02</c:v>
                </c:pt>
                <c:pt idx="24">
                  <c:v>5.12E+02</c:v>
                </c:pt>
                <c:pt idx="25">
                  <c:v>1.02E+03</c:v>
                </c:pt>
                <c:pt idx="26">
                  <c:v>2.05E+03</c:v>
                </c:pt>
                <c:pt idx="27">
                  <c:v>4.10E+03</c:v>
                </c:pt>
                <c:pt idx="28">
                  <c:v>8.19E+03</c:v>
                </c:pt>
                <c:pt idx="29">
                  <c:v>1.64E+04</c:v>
                </c:pt>
                <c:pt idx="30">
                  <c:v>3.28E+04</c:v>
                </c:pt>
                <c:pt idx="31">
                  <c:v>6.55E+04</c:v>
                </c:pt>
                <c:pt idx="32">
                  <c:v>1.31E+05</c:v>
                </c:pt>
                <c:pt idx="33">
                  <c:v>2.62E+05</c:v>
                </c:pt>
                <c:pt idx="34">
                  <c:v>5.24E+05</c:v>
                </c:pt>
                <c:pt idx="35">
                  <c:v>1.05E+06</c:v>
                </c:pt>
                <c:pt idx="36">
                  <c:v>2.10E+06</c:v>
                </c:pt>
                <c:pt idx="37">
                  <c:v>4.19E+06</c:v>
                </c:pt>
                <c:pt idx="38">
                  <c:v>8.39E+06</c:v>
                </c:pt>
                <c:pt idx="39">
                  <c:v>1.68E+07</c:v>
                </c:pt>
                <c:pt idx="40">
                  <c:v>3.36E+07</c:v>
                </c:pt>
                <c:pt idx="41">
                  <c:v>6.71E+07</c:v>
                </c:pt>
                <c:pt idx="42">
                  <c:v>1.34E+08</c:v>
                </c:pt>
                <c:pt idx="43">
                  <c:v>2.68E+08</c:v>
                </c:pt>
                <c:pt idx="44">
                  <c:v>5.37E+08</c:v>
                </c:pt>
                <c:pt idx="45">
                  <c:v>1.07E+09</c:v>
                </c:pt>
              </c:strCache>
            </c:strRef>
          </c:xVal>
          <c:yVal>
            <c:numRef>
              <c:f>Sheet1!$M$2:$M$47</c:f>
              <c:numCache>
                <c:formatCode>General</c:formatCode>
                <c:ptCount val="46"/>
                <c:pt idx="3">
                  <c:v>1.0092877201877</c:v>
                </c:pt>
                <c:pt idx="4">
                  <c:v>1.0092877201877299</c:v>
                </c:pt>
                <c:pt idx="5">
                  <c:v>1.0092877201877799</c:v>
                </c:pt>
                <c:pt idx="6">
                  <c:v>1.0092877201875901</c:v>
                </c:pt>
                <c:pt idx="7">
                  <c:v>1.0092877201869801</c:v>
                </c:pt>
                <c:pt idx="8">
                  <c:v>1.00928772017907</c:v>
                </c:pt>
                <c:pt idx="9">
                  <c:v>1.0092877200992001</c:v>
                </c:pt>
                <c:pt idx="10">
                  <c:v>1.0092877193016001</c:v>
                </c:pt>
                <c:pt idx="11">
                  <c:v>1.00928771132703</c:v>
                </c:pt>
                <c:pt idx="12">
                  <c:v>1.0092876315804</c:v>
                </c:pt>
                <c:pt idx="13">
                  <c:v>1.0092875429745201</c:v>
                </c:pt>
                <c:pt idx="14">
                  <c:v>1.00928727716627</c:v>
                </c:pt>
                <c:pt idx="15">
                  <c:v>1.00928683418376</c:v>
                </c:pt>
                <c:pt idx="16">
                  <c:v>1.0092859483344001</c:v>
                </c:pt>
                <c:pt idx="17">
                  <c:v>1.0092841771005101</c:v>
                </c:pt>
                <c:pt idx="18">
                  <c:v>1.00928063648938</c:v>
                </c:pt>
                <c:pt idx="19">
                  <c:v>1.0092735626756499</c:v>
                </c:pt>
                <c:pt idx="20">
                  <c:v>1.0092594445409999</c:v>
                </c:pt>
                <c:pt idx="21">
                  <c:v>1.0092313251344101</c:v>
                </c:pt>
                <c:pt idx="22">
                  <c:v>1.0091755450786</c:v>
                </c:pt>
                <c:pt idx="23">
                  <c:v>1.00906575330114</c:v>
                </c:pt>
                <c:pt idx="24">
                  <c:v>1.0088527516003201</c:v>
                </c:pt>
                <c:pt idx="25">
                  <c:v>1.0084527639013201</c:v>
                </c:pt>
                <c:pt idx="26">
                  <c:v>1.0077142560229699</c:v>
                </c:pt>
                <c:pt idx="27">
                  <c:v>1.0064382361494699</c:v>
                </c:pt>
                <c:pt idx="28">
                  <c:v>1.00433121657247</c:v>
                </c:pt>
                <c:pt idx="29">
                  <c:v>1.0009880403345199</c:v>
                </c:pt>
                <c:pt idx="30">
                  <c:v>0.99593909632487998</c:v>
                </c:pt>
                <c:pt idx="31">
                  <c:v>0.98864862282354904</c:v>
                </c:pt>
                <c:pt idx="32">
                  <c:v>0.97851913286425696</c:v>
                </c:pt>
                <c:pt idx="33">
                  <c:v>0.96504918882748703</c:v>
                </c:pt>
                <c:pt idx="34">
                  <c:v>0.94784787420830896</c:v>
                </c:pt>
                <c:pt idx="35">
                  <c:v>0.92664321819903706</c:v>
                </c:pt>
                <c:pt idx="36">
                  <c:v>0.90155404526434102</c:v>
                </c:pt>
                <c:pt idx="37">
                  <c:v>0.872836452133955</c:v>
                </c:pt>
                <c:pt idx="38">
                  <c:v>0.84059613326280302</c:v>
                </c:pt>
                <c:pt idx="39">
                  <c:v>0.80543985470638502</c:v>
                </c:pt>
                <c:pt idx="40">
                  <c:v>0.76794789531983998</c:v>
                </c:pt>
                <c:pt idx="41">
                  <c:v>0.72866306317085205</c:v>
                </c:pt>
                <c:pt idx="42">
                  <c:v>0.68798861696880498</c:v>
                </c:pt>
                <c:pt idx="43">
                  <c:v>0.64624972231073097</c:v>
                </c:pt>
                <c:pt idx="44">
                  <c:v>0.603713809664568</c:v>
                </c:pt>
                <c:pt idx="45">
                  <c:v>0.56091610669884395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31-4B02-A128-8CFC55410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3859855"/>
        <c:axId val="1933866095"/>
      </c:scatterChart>
      <c:valAx>
        <c:axId val="1933859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33866095"/>
        <c:crosses val="autoZero"/>
        <c:crossBetween val="midCat"/>
      </c:valAx>
      <c:valAx>
        <c:axId val="193386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338598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57150</xdr:colOff>
      <xdr:row>18</xdr:row>
      <xdr:rowOff>85725</xdr:rowOff>
    </xdr:from>
    <xdr:to>
      <xdr:col>29</xdr:col>
      <xdr:colOff>180974</xdr:colOff>
      <xdr:row>38</xdr:row>
      <xdr:rowOff>171449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A8DA341B-89CF-FE43-5DCC-28EAB26AD4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C826-F786-4EE7-9C76-F06B5176B29E}">
  <dimension ref="A1:R47"/>
  <sheetViews>
    <sheetView tabSelected="1" topLeftCell="D1" workbookViewId="0">
      <selection activeCell="T13" sqref="T13"/>
    </sheetView>
  </sheetViews>
  <sheetFormatPr defaultRowHeight="16.5" x14ac:dyDescent="0.3"/>
  <cols>
    <col min="1" max="1" width="9.25" bestFit="1" customWidth="1"/>
    <col min="2" max="2" width="15" bestFit="1" customWidth="1"/>
    <col min="8" max="8" width="14.25" bestFit="1" customWidth="1"/>
    <col min="14" max="14" width="14.25" bestFit="1" customWidth="1"/>
  </cols>
  <sheetData>
    <row r="1" spans="1:18" x14ac:dyDescent="0.3">
      <c r="A1" t="s">
        <v>6</v>
      </c>
      <c r="B1" s="2" t="s">
        <v>5</v>
      </c>
    </row>
    <row r="2" spans="1:18" x14ac:dyDescent="0.3">
      <c r="A2" t="s">
        <v>7</v>
      </c>
      <c r="C2" t="s">
        <v>0</v>
      </c>
      <c r="D2" t="s">
        <v>1</v>
      </c>
      <c r="E2" t="s">
        <v>2</v>
      </c>
      <c r="H2" t="s">
        <v>8</v>
      </c>
      <c r="I2" t="s">
        <v>0</v>
      </c>
      <c r="J2" t="s">
        <v>1</v>
      </c>
      <c r="K2" t="s">
        <v>2</v>
      </c>
      <c r="N2" t="s">
        <v>9</v>
      </c>
      <c r="O2" t="s">
        <v>0</v>
      </c>
      <c r="P2" t="s">
        <v>1</v>
      </c>
      <c r="Q2" t="s">
        <v>2</v>
      </c>
    </row>
    <row r="3" spans="1:18" x14ac:dyDescent="0.3">
      <c r="B3" t="s">
        <v>3</v>
      </c>
      <c r="C3" s="1">
        <v>9.9999999999999998E-13</v>
      </c>
      <c r="D3">
        <f>-2.32123496134</f>
        <v>-2.3212349613400001</v>
      </c>
      <c r="E3">
        <f t="shared" ref="E3:E47" si="0">D3-D$3</f>
        <v>0</v>
      </c>
      <c r="F3">
        <f>0+E3</f>
        <v>0</v>
      </c>
      <c r="H3" t="s">
        <v>11</v>
      </c>
      <c r="I3" s="1">
        <v>9.9999999999999998E-13</v>
      </c>
      <c r="J3">
        <f>-1.40582001949</f>
        <v>-1.4058200194899999</v>
      </c>
      <c r="K3">
        <f>J3-J$3</f>
        <v>0</v>
      </c>
      <c r="L3">
        <f>1+K3</f>
        <v>1</v>
      </c>
      <c r="N3" t="s">
        <v>10</v>
      </c>
      <c r="O3" s="1">
        <v>9.9999999999999998E-13</v>
      </c>
      <c r="P3">
        <f>-0.4252108081</f>
        <v>-0.4252108081</v>
      </c>
      <c r="Q3">
        <f>P3-P$3</f>
        <v>0</v>
      </c>
      <c r="R3">
        <f>2+Q3</f>
        <v>2</v>
      </c>
    </row>
    <row r="4" spans="1:18" x14ac:dyDescent="0.3">
      <c r="B4" t="s">
        <v>4</v>
      </c>
      <c r="C4">
        <v>0</v>
      </c>
      <c r="D4">
        <v>-2.32123472391</v>
      </c>
      <c r="E4">
        <f t="shared" si="0"/>
        <v>2.3743000010512105E-7</v>
      </c>
      <c r="F4">
        <f t="shared" ref="F4:F47" si="1">0+E4</f>
        <v>2.3743000010512105E-7</v>
      </c>
      <c r="I4">
        <v>0</v>
      </c>
      <c r="J4">
        <v>-1.40582060591</v>
      </c>
      <c r="K4">
        <f>J4-J$3</f>
        <v>-5.8642000011488449E-7</v>
      </c>
      <c r="L4">
        <f t="shared" ref="L4:L47" si="2">1+K4</f>
        <v>0.99999941357999989</v>
      </c>
      <c r="O4">
        <v>0</v>
      </c>
      <c r="P4">
        <v>-0.425210838704</v>
      </c>
      <c r="Q4">
        <f>P4-P$3</f>
        <v>-3.0604000000877818E-8</v>
      </c>
      <c r="R4">
        <f t="shared" ref="R4:R47" si="3">2+Q4</f>
        <v>1.999999969396</v>
      </c>
    </row>
    <row r="5" spans="1:18" x14ac:dyDescent="0.3">
      <c r="C5" s="1">
        <v>9.9999999999999994E-12</v>
      </c>
      <c r="D5">
        <v>-2.3212349048399998</v>
      </c>
      <c r="E5">
        <f t="shared" si="0"/>
        <v>5.6500000233938863E-8</v>
      </c>
      <c r="F5">
        <f t="shared" si="1"/>
        <v>5.6500000233938863E-8</v>
      </c>
      <c r="I5" s="1">
        <v>9.9999999999999994E-12</v>
      </c>
      <c r="J5">
        <v>-1.40582066504</v>
      </c>
      <c r="K5">
        <f>J5-J$3</f>
        <v>-6.4555000012234132E-7</v>
      </c>
      <c r="L5">
        <f t="shared" si="2"/>
        <v>0.99999935444999988</v>
      </c>
      <c r="M5">
        <v>1.0092877201877</v>
      </c>
      <c r="O5" s="1">
        <v>9.9999999999999994E-12</v>
      </c>
      <c r="P5">
        <v>-0.42521084974399997</v>
      </c>
      <c r="Q5">
        <f>P5-P$3</f>
        <v>-4.1643999970641943E-8</v>
      </c>
      <c r="R5">
        <f t="shared" si="3"/>
        <v>1.999999958356</v>
      </c>
    </row>
    <row r="6" spans="1:18" x14ac:dyDescent="0.3">
      <c r="C6" s="1">
        <v>1E-10</v>
      </c>
      <c r="D6">
        <v>-2.3212349058499999</v>
      </c>
      <c r="E6">
        <f t="shared" si="0"/>
        <v>5.5490000150371088E-8</v>
      </c>
      <c r="F6">
        <f t="shared" si="1"/>
        <v>5.5490000150371088E-8</v>
      </c>
      <c r="I6" s="1">
        <v>1E-10</v>
      </c>
      <c r="J6">
        <v>-1.40582066506</v>
      </c>
      <c r="K6">
        <f>J6-J$3</f>
        <v>-6.4557000012399612E-7</v>
      </c>
      <c r="L6">
        <f t="shared" si="2"/>
        <v>0.99999935442999988</v>
      </c>
      <c r="M6">
        <v>1.0092877201877299</v>
      </c>
      <c r="O6" s="1">
        <v>1E-10</v>
      </c>
      <c r="P6">
        <v>-0.42521169382099999</v>
      </c>
      <c r="Q6">
        <f>P6-P$3</f>
        <v>-8.8572099998796006E-7</v>
      </c>
      <c r="R6">
        <f t="shared" si="3"/>
        <v>1.9999991142789999</v>
      </c>
    </row>
    <row r="7" spans="1:18" x14ac:dyDescent="0.3">
      <c r="C7" s="1">
        <v>1E-8</v>
      </c>
      <c r="D7">
        <v>-2.32123499781</v>
      </c>
      <c r="E7">
        <f t="shared" si="0"/>
        <v>-3.6469999908916861E-8</v>
      </c>
      <c r="F7">
        <f t="shared" si="1"/>
        <v>-3.6469999908916861E-8</v>
      </c>
      <c r="I7" s="1">
        <v>1E-8</v>
      </c>
      <c r="J7">
        <v>-1.40582066506</v>
      </c>
      <c r="K7">
        <f>J7-J$3</f>
        <v>-6.4557000012399612E-7</v>
      </c>
      <c r="L7">
        <f t="shared" si="2"/>
        <v>0.99999935442999988</v>
      </c>
      <c r="M7">
        <v>1.0092877201877799</v>
      </c>
      <c r="O7" s="1">
        <v>1E-8</v>
      </c>
      <c r="P7">
        <v>-0.42521084975899998</v>
      </c>
      <c r="Q7">
        <f>P7-P$3</f>
        <v>-4.1658999971883048E-8</v>
      </c>
      <c r="R7">
        <f t="shared" si="3"/>
        <v>1.999999958341</v>
      </c>
    </row>
    <row r="8" spans="1:18" x14ac:dyDescent="0.3">
      <c r="C8" s="1">
        <v>9.9999999999999995E-8</v>
      </c>
      <c r="D8">
        <v>-2.3212349049699998</v>
      </c>
      <c r="E8">
        <f t="shared" si="0"/>
        <v>5.6370000223182615E-8</v>
      </c>
      <c r="F8">
        <f t="shared" si="1"/>
        <v>5.6370000223182615E-8</v>
      </c>
      <c r="I8" s="1">
        <v>9.9999999999999995E-8</v>
      </c>
      <c r="J8">
        <v>-1.40582066504</v>
      </c>
      <c r="K8">
        <f>J8-J$3</f>
        <v>-6.4555000012234132E-7</v>
      </c>
      <c r="L8">
        <f t="shared" si="2"/>
        <v>0.99999935444999988</v>
      </c>
      <c r="M8">
        <v>1.0092877201875901</v>
      </c>
      <c r="O8" s="1">
        <v>9.9999999999999995E-8</v>
      </c>
      <c r="P8">
        <v>-0.42521083209400001</v>
      </c>
      <c r="Q8">
        <f>P8-P$3</f>
        <v>-2.3994000009075478E-8</v>
      </c>
      <c r="R8">
        <f t="shared" si="3"/>
        <v>1.9999999760059999</v>
      </c>
    </row>
    <row r="9" spans="1:18" x14ac:dyDescent="0.3">
      <c r="C9" s="1">
        <v>9.9999999999999995E-7</v>
      </c>
      <c r="D9">
        <v>-2.3212349933400001</v>
      </c>
      <c r="E9">
        <f t="shared" si="0"/>
        <v>-3.1999999983156613E-8</v>
      </c>
      <c r="F9">
        <f t="shared" si="1"/>
        <v>-3.1999999983156613E-8</v>
      </c>
      <c r="I9" s="1">
        <v>9.9999999999999995E-7</v>
      </c>
      <c r="J9">
        <v>-1.40582066507</v>
      </c>
      <c r="K9">
        <f>J9-J$3</f>
        <v>-6.4558000012482353E-7</v>
      </c>
      <c r="L9">
        <f t="shared" si="2"/>
        <v>0.99999935441999988</v>
      </c>
      <c r="M9">
        <v>1.0092877201869801</v>
      </c>
      <c r="O9" s="1">
        <v>9.9999999999999995E-7</v>
      </c>
      <c r="P9">
        <v>-0.425210849783</v>
      </c>
      <c r="Q9">
        <f>P9-P$3</f>
        <v>-4.1682999996073278E-8</v>
      </c>
      <c r="R9">
        <f t="shared" si="3"/>
        <v>1.9999999583170001</v>
      </c>
    </row>
    <row r="10" spans="1:18" x14ac:dyDescent="0.3">
      <c r="C10" s="1">
        <v>1.0000000000000001E-5</v>
      </c>
      <c r="D10">
        <v>-2.32123499256</v>
      </c>
      <c r="E10">
        <f t="shared" si="0"/>
        <v>-3.1219999918619123E-8</v>
      </c>
      <c r="F10">
        <f t="shared" si="1"/>
        <v>-3.1219999918619123E-8</v>
      </c>
      <c r="I10" s="1">
        <v>1.0000000000000001E-5</v>
      </c>
      <c r="J10">
        <v>-1.40582066512</v>
      </c>
      <c r="K10">
        <f>J10-J$3</f>
        <v>-6.4563000012896055E-7</v>
      </c>
      <c r="L10">
        <f t="shared" si="2"/>
        <v>0.99999935436999987</v>
      </c>
      <c r="M10">
        <v>1.00928772017907</v>
      </c>
      <c r="O10" s="1">
        <v>1.0000000000000001E-5</v>
      </c>
      <c r="P10">
        <v>-0.42521084999800002</v>
      </c>
      <c r="Q10">
        <f>P10-P$3</f>
        <v>-4.1898000013862458E-8</v>
      </c>
      <c r="R10">
        <f t="shared" si="3"/>
        <v>1.999999958102</v>
      </c>
    </row>
    <row r="11" spans="1:18" x14ac:dyDescent="0.3">
      <c r="C11" s="1">
        <v>1E-4</v>
      </c>
      <c r="D11">
        <v>-2.3212350025099999</v>
      </c>
      <c r="E11">
        <f t="shared" si="0"/>
        <v>-4.1169999853707395E-8</v>
      </c>
      <c r="F11">
        <f t="shared" si="1"/>
        <v>-4.1169999853707395E-8</v>
      </c>
      <c r="I11" s="1">
        <v>1E-4</v>
      </c>
      <c r="J11">
        <v>-1.4058206658600001</v>
      </c>
      <c r="K11">
        <f>J11-J$3</f>
        <v>-6.4637000019018842E-7</v>
      </c>
      <c r="L11">
        <f t="shared" si="2"/>
        <v>0.99999935362999981</v>
      </c>
      <c r="M11">
        <v>1.0092877200992001</v>
      </c>
      <c r="O11" s="1">
        <v>1E-4</v>
      </c>
      <c r="P11">
        <v>-0.42521080317900001</v>
      </c>
      <c r="Q11">
        <f>P11-P$3</f>
        <v>4.9209999963828466E-9</v>
      </c>
      <c r="R11">
        <f t="shared" si="3"/>
        <v>2.0000000049210001</v>
      </c>
    </row>
    <row r="12" spans="1:18" x14ac:dyDescent="0.3">
      <c r="C12" s="1">
        <v>1E-3</v>
      </c>
      <c r="D12">
        <v>-2.3212351400400002</v>
      </c>
      <c r="E12">
        <f t="shared" si="0"/>
        <v>-1.7870000013076037E-7</v>
      </c>
      <c r="F12">
        <f t="shared" si="1"/>
        <v>-1.7870000013076037E-7</v>
      </c>
      <c r="I12" s="1">
        <v>1E-3</v>
      </c>
      <c r="J12">
        <v>-1.40582067321</v>
      </c>
      <c r="K12">
        <f>J12-J$3</f>
        <v>-6.5372000013219633E-7</v>
      </c>
      <c r="L12">
        <f t="shared" si="2"/>
        <v>0.99999934627999987</v>
      </c>
      <c r="M12">
        <v>1.0092877193016001</v>
      </c>
      <c r="O12" s="1">
        <v>1E-3</v>
      </c>
      <c r="P12">
        <v>-0.42521082469600002</v>
      </c>
      <c r="Q12">
        <f>P12-P$3</f>
        <v>-1.6596000018687107E-8</v>
      </c>
      <c r="R12">
        <f t="shared" si="3"/>
        <v>1.9999999834039999</v>
      </c>
    </row>
    <row r="13" spans="1:18" x14ac:dyDescent="0.3">
      <c r="C13" s="1">
        <v>0.01</v>
      </c>
      <c r="D13">
        <v>-2.3212347178199999</v>
      </c>
      <c r="E13">
        <f t="shared" si="0"/>
        <v>2.435200001649207E-7</v>
      </c>
      <c r="F13">
        <f t="shared" si="1"/>
        <v>2.435200001649207E-7</v>
      </c>
      <c r="I13" s="1">
        <v>0.01</v>
      </c>
      <c r="J13">
        <v>-1.4058207466699999</v>
      </c>
      <c r="K13">
        <f>J13-J$3</f>
        <v>-7.2717999999305505E-7</v>
      </c>
      <c r="L13">
        <f t="shared" si="2"/>
        <v>0.99999927282000001</v>
      </c>
      <c r="M13">
        <v>1.00928771132703</v>
      </c>
      <c r="O13" s="1">
        <v>0.01</v>
      </c>
      <c r="P13">
        <v>-0.42521108837600002</v>
      </c>
      <c r="Q13">
        <f>P13-P$3</f>
        <v>-2.802760000197857E-7</v>
      </c>
      <c r="R13">
        <f t="shared" si="3"/>
        <v>1.999999719724</v>
      </c>
    </row>
    <row r="14" spans="1:18" x14ac:dyDescent="0.3">
      <c r="C14" s="1">
        <v>0.1</v>
      </c>
      <c r="D14">
        <v>-2.3212347531700002</v>
      </c>
      <c r="E14">
        <f t="shared" si="0"/>
        <v>2.0816999990458385E-7</v>
      </c>
      <c r="F14">
        <f t="shared" si="1"/>
        <v>2.0816999990458385E-7</v>
      </c>
      <c r="I14" s="1">
        <v>0.1</v>
      </c>
      <c r="J14">
        <v>-1.40582148107</v>
      </c>
      <c r="K14">
        <f>J14-J$3</f>
        <v>-1.4615800001394064E-6</v>
      </c>
      <c r="L14">
        <f t="shared" si="2"/>
        <v>0.99999853841999986</v>
      </c>
      <c r="M14">
        <v>1.0092876315804</v>
      </c>
      <c r="O14" s="1">
        <v>0.1</v>
      </c>
      <c r="P14">
        <v>-0.42521323426099999</v>
      </c>
      <c r="Q14">
        <f>P14-P$3</f>
        <v>-2.4261609999909339E-6</v>
      </c>
      <c r="R14">
        <f t="shared" si="3"/>
        <v>1.9999975738389999</v>
      </c>
    </row>
    <row r="15" spans="1:18" x14ac:dyDescent="0.3">
      <c r="C15" s="1">
        <v>0.2</v>
      </c>
      <c r="D15">
        <v>-2.3212350767399998</v>
      </c>
      <c r="E15">
        <f t="shared" si="0"/>
        <v>-1.153999997782762E-7</v>
      </c>
      <c r="F15">
        <f t="shared" si="1"/>
        <v>-1.153999997782762E-7</v>
      </c>
      <c r="I15" s="1">
        <v>0.2</v>
      </c>
      <c r="J15">
        <v>-1.40582229663</v>
      </c>
      <c r="K15">
        <f>J15-J$3</f>
        <v>-2.2771400001175834E-6</v>
      </c>
      <c r="L15">
        <f t="shared" si="2"/>
        <v>0.99999772285999988</v>
      </c>
      <c r="M15">
        <v>1.0092875429745201</v>
      </c>
      <c r="O15" s="1">
        <v>0.2</v>
      </c>
      <c r="P15">
        <v>-0.42521564475000001</v>
      </c>
      <c r="Q15">
        <f>P15-P$3</f>
        <v>-4.8366500000063262E-6</v>
      </c>
      <c r="R15">
        <f t="shared" si="3"/>
        <v>1.9999951633499999</v>
      </c>
    </row>
    <row r="16" spans="1:18" x14ac:dyDescent="0.3">
      <c r="C16" s="1">
        <v>0.5</v>
      </c>
      <c r="D16">
        <v>-2.3212352843000001</v>
      </c>
      <c r="E16">
        <f t="shared" si="0"/>
        <v>-3.2296000007647763E-7</v>
      </c>
      <c r="F16">
        <f t="shared" si="1"/>
        <v>-3.2296000007647763E-7</v>
      </c>
      <c r="I16" s="1">
        <v>0.5</v>
      </c>
      <c r="J16">
        <v>-1.4058247205000001</v>
      </c>
      <c r="K16">
        <f>J16-J$3</f>
        <v>-4.7010100001632082E-6</v>
      </c>
      <c r="L16">
        <f t="shared" si="2"/>
        <v>0.99999529898999984</v>
      </c>
      <c r="M16">
        <v>1.00928727716627</v>
      </c>
      <c r="O16" s="1">
        <v>0.5</v>
      </c>
      <c r="P16">
        <v>-0.42522268290100002</v>
      </c>
      <c r="Q16">
        <f>P16-P$3</f>
        <v>-1.187480100001137E-5</v>
      </c>
      <c r="R16">
        <f t="shared" si="3"/>
        <v>1.9999881251989999</v>
      </c>
    </row>
    <row r="17" spans="3:18" x14ac:dyDescent="0.3">
      <c r="C17" s="1">
        <v>1</v>
      </c>
      <c r="D17">
        <v>-2.32123566368</v>
      </c>
      <c r="E17">
        <f t="shared" si="0"/>
        <v>-7.0233999993618568E-7</v>
      </c>
      <c r="F17">
        <f t="shared" si="1"/>
        <v>-7.0233999993618568E-7</v>
      </c>
      <c r="I17" s="1">
        <v>1</v>
      </c>
      <c r="J17">
        <v>-1.40582821889</v>
      </c>
      <c r="K17">
        <f>J17-J$3</f>
        <v>-8.1994000000751299E-6</v>
      </c>
      <c r="L17">
        <f t="shared" si="2"/>
        <v>0.99999180059999992</v>
      </c>
      <c r="M17">
        <v>1.00928683418376</v>
      </c>
      <c r="O17" s="1">
        <v>1</v>
      </c>
      <c r="P17">
        <v>-0.42523451647400001</v>
      </c>
      <c r="Q17">
        <f>P17-P$3</f>
        <v>-2.3708374000008803E-5</v>
      </c>
      <c r="R17">
        <f t="shared" si="3"/>
        <v>1.999976291626</v>
      </c>
    </row>
    <row r="18" spans="3:18" x14ac:dyDescent="0.3">
      <c r="C18" s="1">
        <v>2</v>
      </c>
      <c r="D18">
        <v>-2.32123618981</v>
      </c>
      <c r="E18">
        <f t="shared" si="0"/>
        <v>-1.2284699999476345E-6</v>
      </c>
      <c r="F18">
        <f t="shared" si="1"/>
        <v>-1.2284699999476345E-6</v>
      </c>
      <c r="I18" s="1">
        <v>2</v>
      </c>
      <c r="J18">
        <v>-1.40583690124</v>
      </c>
      <c r="K18">
        <f>J18-J$3</f>
        <v>-1.6881750000141693E-5</v>
      </c>
      <c r="L18">
        <f t="shared" si="2"/>
        <v>0.99998311824999986</v>
      </c>
      <c r="M18">
        <v>1.0092859483344001</v>
      </c>
      <c r="O18" s="1">
        <v>2</v>
      </c>
      <c r="P18">
        <v>-0.42525780742899999</v>
      </c>
      <c r="Q18">
        <f>P18-P$3</f>
        <v>-4.6999328999985934E-5</v>
      </c>
      <c r="R18">
        <f t="shared" si="3"/>
        <v>1.999953000671</v>
      </c>
    </row>
    <row r="19" spans="3:18" x14ac:dyDescent="0.3">
      <c r="C19" s="1">
        <v>4</v>
      </c>
      <c r="D19">
        <v>-2.3212378167000001</v>
      </c>
      <c r="E19">
        <f t="shared" si="0"/>
        <v>-2.8553599999980861E-6</v>
      </c>
      <c r="F19">
        <f t="shared" si="1"/>
        <v>-2.8553599999980861E-6</v>
      </c>
      <c r="I19" s="1">
        <v>4</v>
      </c>
      <c r="J19">
        <v>-1.4058529652</v>
      </c>
      <c r="K19">
        <f>J19-J$3</f>
        <v>-3.2945710000120698E-5</v>
      </c>
      <c r="L19">
        <f t="shared" si="2"/>
        <v>0.99996705428999988</v>
      </c>
      <c r="M19">
        <v>1.0092841771005101</v>
      </c>
      <c r="O19" s="1">
        <v>4</v>
      </c>
      <c r="P19">
        <v>-0.42530331345799999</v>
      </c>
      <c r="Q19">
        <f>P19-P$3</f>
        <v>-9.2505357999983495E-5</v>
      </c>
      <c r="R19">
        <f t="shared" si="3"/>
        <v>1.9999074946420001</v>
      </c>
    </row>
    <row r="20" spans="3:18" x14ac:dyDescent="0.3">
      <c r="C20" s="1">
        <f>2*C19</f>
        <v>8</v>
      </c>
      <c r="D20">
        <v>-2.3212409630100002</v>
      </c>
      <c r="E20">
        <f t="shared" si="0"/>
        <v>-6.0016700000886658E-6</v>
      </c>
      <c r="F20">
        <f t="shared" si="1"/>
        <v>-6.0016700000886658E-6</v>
      </c>
      <c r="I20" s="1">
        <f>2*I19</f>
        <v>8</v>
      </c>
      <c r="J20">
        <v>-1.4058846054</v>
      </c>
      <c r="K20">
        <f>J20-J$3</f>
        <v>-6.4585910000136693E-5</v>
      </c>
      <c r="L20">
        <f t="shared" si="2"/>
        <v>0.99993541408999986</v>
      </c>
      <c r="M20">
        <v>1.00928063648938</v>
      </c>
      <c r="O20" s="1">
        <f>2*O19</f>
        <v>8</v>
      </c>
      <c r="P20">
        <v>-0.42539086038500001</v>
      </c>
      <c r="Q20">
        <f>P20-P$3</f>
        <v>-1.8005228500000969E-4</v>
      </c>
      <c r="R20">
        <f t="shared" si="3"/>
        <v>1.999819947715</v>
      </c>
    </row>
    <row r="21" spans="3:18" x14ac:dyDescent="0.3">
      <c r="C21" s="1">
        <f t="shared" ref="C21:C47" si="4">2*C20</f>
        <v>16</v>
      </c>
      <c r="D21">
        <v>-2.3212470863900001</v>
      </c>
      <c r="E21">
        <f t="shared" si="0"/>
        <v>-1.212505000003361E-5</v>
      </c>
      <c r="F21">
        <f t="shared" si="1"/>
        <v>-1.212505000003361E-5</v>
      </c>
      <c r="I21" s="1">
        <f t="shared" ref="I21:I47" si="5">2*I20</f>
        <v>16</v>
      </c>
      <c r="J21">
        <v>-1.4059461098399999</v>
      </c>
      <c r="K21">
        <f>J21-J$3</f>
        <v>-1.2609034999999658E-4</v>
      </c>
      <c r="L21">
        <f t="shared" si="2"/>
        <v>0.99987390965</v>
      </c>
      <c r="M21">
        <v>1.0092735626756499</v>
      </c>
      <c r="O21" s="1">
        <f t="shared" ref="O21:O47" si="6">2*O20</f>
        <v>16</v>
      </c>
      <c r="P21">
        <v>-0.425554307347</v>
      </c>
      <c r="Q21">
        <f>P21-P$3</f>
        <v>-3.434992470000009E-4</v>
      </c>
      <c r="R21">
        <f t="shared" si="3"/>
        <v>1.9996565007530001</v>
      </c>
    </row>
    <row r="22" spans="3:18" x14ac:dyDescent="0.3">
      <c r="C22" s="1">
        <f t="shared" si="4"/>
        <v>32</v>
      </c>
      <c r="D22">
        <v>-2.32125897361</v>
      </c>
      <c r="E22">
        <f t="shared" si="0"/>
        <v>-2.4012269999929003E-5</v>
      </c>
      <c r="F22">
        <f t="shared" si="1"/>
        <v>-2.4012269999929003E-5</v>
      </c>
      <c r="I22" s="1">
        <f t="shared" si="5"/>
        <v>32</v>
      </c>
      <c r="J22">
        <v>-1.4060631055199999</v>
      </c>
      <c r="K22">
        <f>J22-J$3</f>
        <v>-2.4308603000000595E-4</v>
      </c>
      <c r="L22">
        <f t="shared" si="2"/>
        <v>0.99975691396999999</v>
      </c>
      <c r="M22">
        <v>1.0092594445409999</v>
      </c>
      <c r="O22" s="1">
        <f t="shared" si="6"/>
        <v>32</v>
      </c>
      <c r="P22">
        <v>-0.42584777876699997</v>
      </c>
      <c r="Q22">
        <f>P22-P$3</f>
        <v>-6.3697066699996974E-4</v>
      </c>
      <c r="R22">
        <f t="shared" si="3"/>
        <v>1.999363029333</v>
      </c>
    </row>
    <row r="23" spans="3:18" x14ac:dyDescent="0.3">
      <c r="C23" s="1">
        <f t="shared" si="4"/>
        <v>64</v>
      </c>
      <c r="D23">
        <v>-2.3212824136600001</v>
      </c>
      <c r="E23">
        <f t="shared" si="0"/>
        <v>-4.7452320000029857E-5</v>
      </c>
      <c r="F23">
        <f t="shared" si="1"/>
        <v>-4.7452320000029857E-5</v>
      </c>
      <c r="I23" s="1">
        <f t="shared" si="5"/>
        <v>64</v>
      </c>
      <c r="J23">
        <v>-1.40627877694</v>
      </c>
      <c r="K23">
        <f>J23-J$3</f>
        <v>-4.5875745000012458E-4</v>
      </c>
      <c r="L23">
        <f t="shared" si="2"/>
        <v>0.99954124254999988</v>
      </c>
      <c r="M23">
        <v>1.0092313251344101</v>
      </c>
      <c r="O23" s="1">
        <f t="shared" si="6"/>
        <v>64</v>
      </c>
      <c r="P23">
        <v>-0.42634803674299998</v>
      </c>
      <c r="Q23">
        <f>P23-P$3</f>
        <v>-1.1372286429999767E-3</v>
      </c>
      <c r="R23">
        <f t="shared" si="3"/>
        <v>1.998862771357</v>
      </c>
    </row>
    <row r="24" spans="3:18" x14ac:dyDescent="0.3">
      <c r="C24" s="1">
        <f t="shared" si="4"/>
        <v>128</v>
      </c>
      <c r="D24">
        <v>-2.3213283604099999</v>
      </c>
      <c r="E24">
        <f t="shared" si="0"/>
        <v>-9.3399069999833273E-5</v>
      </c>
      <c r="F24">
        <f t="shared" si="1"/>
        <v>-9.3399069999833273E-5</v>
      </c>
      <c r="I24" s="1">
        <f t="shared" si="5"/>
        <v>128</v>
      </c>
      <c r="J24">
        <v>-1.4066609857000001</v>
      </c>
      <c r="K24">
        <f>J24-J$3</f>
        <v>-8.4096621000018246E-4</v>
      </c>
      <c r="L24">
        <f t="shared" si="2"/>
        <v>0.99915903378999982</v>
      </c>
      <c r="M24">
        <v>1.0091755450786</v>
      </c>
      <c r="O24" s="1">
        <f t="shared" si="6"/>
        <v>128</v>
      </c>
      <c r="P24">
        <v>-0.42715955495199998</v>
      </c>
      <c r="Q24">
        <f>P24-P$3</f>
        <v>-1.9487468519999718E-3</v>
      </c>
      <c r="R24">
        <f t="shared" si="3"/>
        <v>1.9980512531480001</v>
      </c>
    </row>
    <row r="25" spans="3:18" x14ac:dyDescent="0.3">
      <c r="C25" s="1">
        <f t="shared" si="4"/>
        <v>256</v>
      </c>
      <c r="D25">
        <v>-2.3214173086800001</v>
      </c>
      <c r="E25">
        <f t="shared" si="0"/>
        <v>-1.8234733999999975E-4</v>
      </c>
      <c r="F25">
        <f t="shared" si="1"/>
        <v>-1.8234733999999975E-4</v>
      </c>
      <c r="I25" s="1">
        <f t="shared" si="5"/>
        <v>256</v>
      </c>
      <c r="J25">
        <v>-1.4073093052200001</v>
      </c>
      <c r="K25">
        <f>J25-J$3</f>
        <v>-1.4892857300001783E-3</v>
      </c>
      <c r="L25">
        <f t="shared" si="2"/>
        <v>0.99851071426999982</v>
      </c>
      <c r="M25">
        <v>1.00906575330114</v>
      </c>
      <c r="O25" s="1">
        <f t="shared" si="6"/>
        <v>256</v>
      </c>
      <c r="P25">
        <v>-0.42841131509300001</v>
      </c>
      <c r="Q25">
        <f>P25-P$3</f>
        <v>-3.2005069930000074E-3</v>
      </c>
      <c r="R25">
        <f t="shared" si="3"/>
        <v>1.9967994930069999</v>
      </c>
    </row>
    <row r="26" spans="3:18" x14ac:dyDescent="0.3">
      <c r="C26" s="1">
        <f t="shared" si="4"/>
        <v>512</v>
      </c>
      <c r="D26">
        <v>-2.3215818218400002</v>
      </c>
      <c r="E26">
        <f t="shared" si="0"/>
        <v>-3.4686050000010127E-4</v>
      </c>
      <c r="F26">
        <f t="shared" si="1"/>
        <v>-3.4686050000010127E-4</v>
      </c>
      <c r="I26" s="1">
        <f t="shared" si="5"/>
        <v>512</v>
      </c>
      <c r="J26">
        <v>-1.4083602991299999</v>
      </c>
      <c r="K26">
        <f>J26-J$3</f>
        <v>-2.5402796400000316E-3</v>
      </c>
      <c r="L26">
        <f t="shared" si="2"/>
        <v>0.99745972035999997</v>
      </c>
      <c r="M26">
        <v>1.0088527516003201</v>
      </c>
      <c r="O26" s="1">
        <f t="shared" si="6"/>
        <v>512</v>
      </c>
      <c r="P26">
        <v>-0.43025344692799999</v>
      </c>
      <c r="Q26">
        <f>P26-P$3</f>
        <v>-5.0426388279999901E-3</v>
      </c>
      <c r="R26">
        <f t="shared" si="3"/>
        <v>1.994957361172</v>
      </c>
    </row>
    <row r="27" spans="3:18" x14ac:dyDescent="0.3">
      <c r="C27" s="1">
        <f t="shared" si="4"/>
        <v>1024</v>
      </c>
      <c r="D27">
        <v>-2.3218767857699998</v>
      </c>
      <c r="E27">
        <f t="shared" si="0"/>
        <v>-6.4182442999971556E-4</v>
      </c>
      <c r="F27">
        <f t="shared" si="1"/>
        <v>-6.4182442999971556E-4</v>
      </c>
      <c r="I27" s="1">
        <f t="shared" si="5"/>
        <v>1024</v>
      </c>
      <c r="J27">
        <v>-1.40999406466</v>
      </c>
      <c r="K27">
        <f>J27-J$3</f>
        <v>-4.1740451700000847E-3</v>
      </c>
      <c r="L27">
        <f t="shared" si="2"/>
        <v>0.99582595482999992</v>
      </c>
      <c r="M27">
        <v>1.0084527639013201</v>
      </c>
      <c r="O27" s="1">
        <f t="shared" si="6"/>
        <v>1024</v>
      </c>
      <c r="P27">
        <v>-0.43285002240699999</v>
      </c>
      <c r="Q27">
        <f>P27-P$3</f>
        <v>-7.6392143069999863E-3</v>
      </c>
      <c r="R27">
        <f t="shared" si="3"/>
        <v>1.9923607856930001</v>
      </c>
    </row>
    <row r="28" spans="3:18" x14ac:dyDescent="0.3">
      <c r="C28" s="1">
        <f t="shared" si="4"/>
        <v>2048</v>
      </c>
      <c r="D28">
        <v>-2.3223816285300001</v>
      </c>
      <c r="E28">
        <f t="shared" si="0"/>
        <v>-1.1466671900000058E-3</v>
      </c>
      <c r="F28">
        <f t="shared" si="1"/>
        <v>-1.1466671900000058E-3</v>
      </c>
      <c r="I28" s="1">
        <f t="shared" si="5"/>
        <v>2048</v>
      </c>
      <c r="J28">
        <v>-1.41242570022</v>
      </c>
      <c r="K28">
        <f>J28-J$3</f>
        <v>-6.6056807300001186E-3</v>
      </c>
      <c r="L28">
        <f t="shared" si="2"/>
        <v>0.99339431926999988</v>
      </c>
      <c r="M28">
        <v>1.0077142560229699</v>
      </c>
      <c r="O28" s="1">
        <f t="shared" si="6"/>
        <v>2048</v>
      </c>
      <c r="P28">
        <v>-0.43635871442399998</v>
      </c>
      <c r="Q28">
        <f>P28-P$3</f>
        <v>-1.1147906323999979E-2</v>
      </c>
      <c r="R28">
        <f t="shared" si="3"/>
        <v>1.9888520936759999</v>
      </c>
    </row>
    <row r="29" spans="3:18" x14ac:dyDescent="0.3">
      <c r="C29" s="1">
        <f t="shared" si="4"/>
        <v>4096</v>
      </c>
      <c r="D29">
        <v>-2.3232035045199999</v>
      </c>
      <c r="E29">
        <f t="shared" si="0"/>
        <v>-1.9685431799998376E-3</v>
      </c>
      <c r="F29">
        <f t="shared" si="1"/>
        <v>-1.9685431799998376E-3</v>
      </c>
      <c r="I29" s="1">
        <f t="shared" si="5"/>
        <v>4096</v>
      </c>
      <c r="J29">
        <v>-1.4158940015999999</v>
      </c>
      <c r="K29">
        <f>J29-J$3</f>
        <v>-1.007398210999999E-2</v>
      </c>
      <c r="L29">
        <f t="shared" si="2"/>
        <v>0.98992601789000001</v>
      </c>
      <c r="M29">
        <v>1.0064382361494699</v>
      </c>
      <c r="O29" s="1">
        <f t="shared" si="6"/>
        <v>4096</v>
      </c>
      <c r="P29">
        <v>-0.44089784462699999</v>
      </c>
      <c r="Q29">
        <f>P29-P$3</f>
        <v>-1.5687036526999987E-2</v>
      </c>
      <c r="R29">
        <f t="shared" si="3"/>
        <v>1.9843129634730001</v>
      </c>
    </row>
    <row r="30" spans="3:18" x14ac:dyDescent="0.3">
      <c r="C30" s="1">
        <f t="shared" si="4"/>
        <v>8192</v>
      </c>
      <c r="D30">
        <v>-2.3244779773799999</v>
      </c>
      <c r="E30">
        <f t="shared" si="0"/>
        <v>-3.2430160399998798E-3</v>
      </c>
      <c r="F30">
        <f t="shared" si="1"/>
        <v>-3.2430160399998798E-3</v>
      </c>
      <c r="I30" s="1">
        <f t="shared" si="5"/>
        <v>8192</v>
      </c>
      <c r="J30">
        <v>-1.4206339909700001</v>
      </c>
      <c r="K30">
        <f>J30-J$3</f>
        <v>-1.4813971480000188E-2</v>
      </c>
      <c r="L30">
        <f t="shared" si="2"/>
        <v>0.98518602851999981</v>
      </c>
      <c r="M30">
        <v>1.00433121657247</v>
      </c>
      <c r="O30" s="1">
        <f t="shared" si="6"/>
        <v>8192</v>
      </c>
      <c r="P30">
        <v>-0.44651412505799998</v>
      </c>
      <c r="Q30">
        <f>P30-P$3</f>
        <v>-2.1303316957999974E-2</v>
      </c>
      <c r="R30">
        <f t="shared" si="3"/>
        <v>1.9786966830420001</v>
      </c>
    </row>
    <row r="31" spans="3:18" x14ac:dyDescent="0.3">
      <c r="C31" s="1">
        <f t="shared" si="4"/>
        <v>16384</v>
      </c>
      <c r="D31">
        <v>-2.3263587914300001</v>
      </c>
      <c r="E31">
        <f t="shared" si="0"/>
        <v>-5.1238300900000588E-3</v>
      </c>
      <c r="F31">
        <f t="shared" si="1"/>
        <v>-5.1238300900000588E-3</v>
      </c>
      <c r="I31" s="1">
        <f t="shared" si="5"/>
        <v>16384</v>
      </c>
      <c r="J31">
        <v>-1.42682864161</v>
      </c>
      <c r="K31">
        <f>J31-J$3</f>
        <v>-2.1008622120000098E-2</v>
      </c>
      <c r="L31">
        <f t="shared" si="2"/>
        <v>0.9789913778799999</v>
      </c>
      <c r="M31">
        <v>1.0009880403345199</v>
      </c>
      <c r="O31" s="1">
        <f t="shared" si="6"/>
        <v>16384</v>
      </c>
      <c r="P31">
        <v>-0.45315522114000001</v>
      </c>
      <c r="Q31">
        <f>P31-P$3</f>
        <v>-2.7944413040000005E-2</v>
      </c>
      <c r="R31">
        <f t="shared" si="3"/>
        <v>1.9720555869600001</v>
      </c>
    </row>
    <row r="32" spans="3:18" x14ac:dyDescent="0.3">
      <c r="C32" s="1">
        <f t="shared" si="4"/>
        <v>32768</v>
      </c>
      <c r="D32">
        <v>-2.3290052137199999</v>
      </c>
      <c r="E32">
        <f t="shared" si="0"/>
        <v>-7.7702523799998424E-3</v>
      </c>
      <c r="F32">
        <f t="shared" si="1"/>
        <v>-7.7702523799998424E-3</v>
      </c>
      <c r="I32" s="1">
        <f t="shared" si="5"/>
        <v>32768</v>
      </c>
      <c r="J32">
        <v>-1.4345603439700001</v>
      </c>
      <c r="K32">
        <f>J32-J$3</f>
        <v>-2.874032448000019E-2</v>
      </c>
      <c r="L32">
        <f t="shared" si="2"/>
        <v>0.97125967551999981</v>
      </c>
      <c r="M32">
        <v>0.99593909632487998</v>
      </c>
      <c r="O32" s="1">
        <f t="shared" si="6"/>
        <v>32768</v>
      </c>
      <c r="P32">
        <v>-0.46437835638000002</v>
      </c>
      <c r="Q32">
        <f>P32-P$3</f>
        <v>-3.916754828000002E-2</v>
      </c>
      <c r="R32">
        <f t="shared" si="3"/>
        <v>1.96083245172</v>
      </c>
    </row>
    <row r="33" spans="3:18" x14ac:dyDescent="0.3">
      <c r="C33" s="1">
        <f t="shared" si="4"/>
        <v>65536</v>
      </c>
      <c r="D33">
        <v>-2.3325532465699998</v>
      </c>
      <c r="E33">
        <f t="shared" si="0"/>
        <v>-1.131828522999978E-2</v>
      </c>
      <c r="F33">
        <f t="shared" si="1"/>
        <v>-1.131828522999978E-2</v>
      </c>
      <c r="I33" s="1">
        <f t="shared" si="5"/>
        <v>65536</v>
      </c>
      <c r="J33">
        <v>-1.44376423565</v>
      </c>
      <c r="K33">
        <f>J33-J$3</f>
        <v>-3.7944216160000099E-2</v>
      </c>
      <c r="L33">
        <f t="shared" si="2"/>
        <v>0.9620557838399999</v>
      </c>
      <c r="M33">
        <v>0.98864862282354904</v>
      </c>
      <c r="O33" s="1">
        <f t="shared" si="6"/>
        <v>65536</v>
      </c>
      <c r="P33">
        <v>-0.48098949835900001</v>
      </c>
      <c r="Q33">
        <f>P33-P$3</f>
        <v>-5.5778690259000008E-2</v>
      </c>
      <c r="R33">
        <f t="shared" si="3"/>
        <v>1.9442213097409999</v>
      </c>
    </row>
    <row r="34" spans="3:18" x14ac:dyDescent="0.3">
      <c r="C34" s="1">
        <f t="shared" si="4"/>
        <v>131072</v>
      </c>
      <c r="D34">
        <v>-2.3370838700399998</v>
      </c>
      <c r="E34">
        <f t="shared" si="0"/>
        <v>-1.5848908699999775E-2</v>
      </c>
      <c r="F34">
        <f t="shared" si="1"/>
        <v>-1.5848908699999775E-2</v>
      </c>
      <c r="I34" s="1">
        <f t="shared" si="5"/>
        <v>131072</v>
      </c>
      <c r="J34">
        <v>-1.4542015426599999</v>
      </c>
      <c r="K34">
        <f>J34-J$3</f>
        <v>-4.8381523169999996E-2</v>
      </c>
      <c r="L34">
        <f t="shared" si="2"/>
        <v>0.95161847683</v>
      </c>
      <c r="M34">
        <v>0.97851913286425696</v>
      </c>
      <c r="O34" s="1">
        <f t="shared" si="6"/>
        <v>131072</v>
      </c>
      <c r="P34">
        <v>-0.49803517744699999</v>
      </c>
      <c r="Q34">
        <f>P34-P$3</f>
        <v>-7.2824369346999984E-2</v>
      </c>
      <c r="R34">
        <f t="shared" si="3"/>
        <v>1.9271756306530001</v>
      </c>
    </row>
    <row r="35" spans="3:18" x14ac:dyDescent="0.3">
      <c r="C35" s="1">
        <f t="shared" si="4"/>
        <v>262144</v>
      </c>
      <c r="D35">
        <v>-2.3425901123099999</v>
      </c>
      <c r="E35">
        <f t="shared" si="0"/>
        <v>-2.1355150969999848E-2</v>
      </c>
      <c r="F35">
        <f t="shared" si="1"/>
        <v>-2.1355150969999848E-2</v>
      </c>
      <c r="I35" s="1">
        <f t="shared" si="5"/>
        <v>262144</v>
      </c>
      <c r="J35">
        <v>-1.4654869073500001</v>
      </c>
      <c r="K35">
        <f>J35-J$3</f>
        <v>-5.9666887860000184E-2</v>
      </c>
      <c r="L35">
        <f t="shared" si="2"/>
        <v>0.94033311213999982</v>
      </c>
      <c r="M35">
        <v>0.96504918882748703</v>
      </c>
      <c r="O35" s="1">
        <f t="shared" si="6"/>
        <v>262144</v>
      </c>
      <c r="P35">
        <v>-0.51480983721100004</v>
      </c>
      <c r="Q35">
        <f>P35-P$3</f>
        <v>-8.9599029111000039E-2</v>
      </c>
      <c r="R35">
        <f t="shared" si="3"/>
        <v>1.910400970889</v>
      </c>
    </row>
    <row r="36" spans="3:18" x14ac:dyDescent="0.3">
      <c r="C36" s="1">
        <f t="shared" si="4"/>
        <v>524288</v>
      </c>
      <c r="D36">
        <v>-2.3556714560900001</v>
      </c>
      <c r="E36">
        <f t="shared" si="0"/>
        <v>-3.4436494749999991E-2</v>
      </c>
      <c r="F36">
        <f t="shared" si="1"/>
        <v>-3.4436494749999991E-2</v>
      </c>
      <c r="I36" s="1">
        <f t="shared" si="5"/>
        <v>524288</v>
      </c>
      <c r="J36">
        <v>-1.4771424428</v>
      </c>
      <c r="K36">
        <f>J36-J$3</f>
        <v>-7.1322423310000049E-2</v>
      </c>
      <c r="L36">
        <f t="shared" si="2"/>
        <v>0.92867757668999995</v>
      </c>
      <c r="M36">
        <v>0.94784787420830896</v>
      </c>
      <c r="O36" s="1">
        <f t="shared" si="6"/>
        <v>524288</v>
      </c>
      <c r="P36">
        <v>-0.53069661698000004</v>
      </c>
      <c r="Q36">
        <f>P36-P$3</f>
        <v>-0.10548580888000003</v>
      </c>
      <c r="R36">
        <f t="shared" si="3"/>
        <v>1.8945141911199999</v>
      </c>
    </row>
    <row r="37" spans="3:18" x14ac:dyDescent="0.3">
      <c r="C37" s="1">
        <f t="shared" si="4"/>
        <v>1048576</v>
      </c>
      <c r="D37">
        <v>-2.3702976949500001</v>
      </c>
      <c r="E37">
        <f t="shared" si="0"/>
        <v>-4.906273361000002E-2</v>
      </c>
      <c r="F37">
        <f t="shared" si="1"/>
        <v>-4.906273361000002E-2</v>
      </c>
      <c r="I37" s="1">
        <f t="shared" si="5"/>
        <v>1048576</v>
      </c>
      <c r="J37">
        <v>-1.4918653443300001</v>
      </c>
      <c r="K37">
        <f>J37-J$3</f>
        <v>-8.6045324840000159E-2</v>
      </c>
      <c r="L37">
        <f t="shared" si="2"/>
        <v>0.91395467515999984</v>
      </c>
      <c r="M37">
        <v>0.92664321819903706</v>
      </c>
      <c r="O37" s="1">
        <f t="shared" si="6"/>
        <v>1048576</v>
      </c>
      <c r="P37">
        <v>-0.54777698240100003</v>
      </c>
      <c r="Q37">
        <f>P37-P$3</f>
        <v>-0.12256617430100003</v>
      </c>
      <c r="R37">
        <f t="shared" si="3"/>
        <v>1.877433825699</v>
      </c>
    </row>
    <row r="38" spans="3:18" x14ac:dyDescent="0.3">
      <c r="C38" s="1">
        <f t="shared" si="4"/>
        <v>2097152</v>
      </c>
      <c r="D38">
        <v>-2.3855047642299998</v>
      </c>
      <c r="E38">
        <f t="shared" si="0"/>
        <v>-6.4269802889999728E-2</v>
      </c>
      <c r="F38">
        <f t="shared" si="1"/>
        <v>-6.4269802889999728E-2</v>
      </c>
      <c r="I38" s="1">
        <f t="shared" si="5"/>
        <v>2097152</v>
      </c>
      <c r="J38">
        <v>-1.5145493967799999</v>
      </c>
      <c r="K38">
        <f>J38-J$3</f>
        <v>-0.10872937728999998</v>
      </c>
      <c r="L38">
        <f t="shared" si="2"/>
        <v>0.89127062271000002</v>
      </c>
      <c r="M38">
        <v>0.90155404526434102</v>
      </c>
      <c r="O38" s="1">
        <f t="shared" si="6"/>
        <v>2097152</v>
      </c>
      <c r="P38">
        <v>-0.57430181231900002</v>
      </c>
      <c r="Q38">
        <f>P38-P$3</f>
        <v>-0.14909100421900001</v>
      </c>
      <c r="R38">
        <f t="shared" si="3"/>
        <v>1.8509089957809999</v>
      </c>
    </row>
    <row r="39" spans="3:18" x14ac:dyDescent="0.3">
      <c r="C39" s="1">
        <f t="shared" si="4"/>
        <v>4194304</v>
      </c>
      <c r="D39">
        <v>-2.40060193409</v>
      </c>
      <c r="E39">
        <f t="shared" si="0"/>
        <v>-7.9366972749999931E-2</v>
      </c>
      <c r="F39">
        <f t="shared" si="1"/>
        <v>-7.9366972749999931E-2</v>
      </c>
      <c r="I39" s="1">
        <f t="shared" si="5"/>
        <v>4194304</v>
      </c>
      <c r="J39">
        <v>-1.5351426109299999</v>
      </c>
      <c r="K39">
        <f>J39-J$3</f>
        <v>-0.12932259144000002</v>
      </c>
      <c r="L39">
        <f t="shared" si="2"/>
        <v>0.87067740855999998</v>
      </c>
      <c r="M39">
        <v>0.872836452133955</v>
      </c>
      <c r="O39" s="1">
        <f t="shared" si="6"/>
        <v>4194304</v>
      </c>
      <c r="P39">
        <v>-0.59704958171199995</v>
      </c>
      <c r="Q39">
        <f>P39-P$3</f>
        <v>-0.17183877361199995</v>
      </c>
      <c r="R39">
        <f t="shared" si="3"/>
        <v>1.828161226388</v>
      </c>
    </row>
    <row r="40" spans="3:18" x14ac:dyDescent="0.3">
      <c r="C40" s="1">
        <f t="shared" si="4"/>
        <v>8388608</v>
      </c>
      <c r="D40">
        <v>-2.4149753255899999</v>
      </c>
      <c r="E40">
        <f t="shared" si="0"/>
        <v>-9.3740364249999875E-2</v>
      </c>
      <c r="F40">
        <f t="shared" si="1"/>
        <v>-9.3740364249999875E-2</v>
      </c>
      <c r="I40" s="1">
        <f t="shared" si="5"/>
        <v>8388608</v>
      </c>
      <c r="J40">
        <v>-1.5532824593500001</v>
      </c>
      <c r="K40">
        <f>J40-J$3</f>
        <v>-0.14746243986000018</v>
      </c>
      <c r="L40">
        <f t="shared" si="2"/>
        <v>0.85253756013999982</v>
      </c>
      <c r="M40">
        <v>0.84059613326280302</v>
      </c>
      <c r="O40" s="1">
        <f t="shared" si="6"/>
        <v>8388608</v>
      </c>
      <c r="P40">
        <v>-0.61619333720000002</v>
      </c>
      <c r="Q40">
        <f>P40-P$3</f>
        <v>-0.19098252910000002</v>
      </c>
      <c r="R40">
        <f t="shared" si="3"/>
        <v>1.8090174709</v>
      </c>
    </row>
    <row r="41" spans="3:18" x14ac:dyDescent="0.3">
      <c r="C41" s="1">
        <f t="shared" si="4"/>
        <v>16777216</v>
      </c>
      <c r="D41">
        <v>-2.4281691866499999</v>
      </c>
      <c r="E41">
        <f t="shared" si="0"/>
        <v>-0.10693422530999985</v>
      </c>
      <c r="F41">
        <f t="shared" si="1"/>
        <v>-0.10693422530999985</v>
      </c>
      <c r="I41" s="1">
        <f t="shared" si="5"/>
        <v>16777216</v>
      </c>
      <c r="J41">
        <v>-1.56888123673</v>
      </c>
      <c r="K41">
        <f>J41-J$3</f>
        <v>-0.16306121724000011</v>
      </c>
      <c r="L41">
        <f t="shared" si="2"/>
        <v>0.83693878275999989</v>
      </c>
      <c r="M41">
        <v>0.80543985470638502</v>
      </c>
      <c r="O41" s="1">
        <f t="shared" si="6"/>
        <v>16777216</v>
      </c>
      <c r="P41">
        <v>-0.63585189387899999</v>
      </c>
      <c r="Q41">
        <f>P41-P$3</f>
        <v>-0.21064108577899998</v>
      </c>
      <c r="R41">
        <f t="shared" si="3"/>
        <v>1.789358914221</v>
      </c>
    </row>
    <row r="42" spans="3:18" x14ac:dyDescent="0.3">
      <c r="C42" s="1">
        <f t="shared" si="4"/>
        <v>33554432</v>
      </c>
      <c r="D42">
        <v>-2.45358315975</v>
      </c>
      <c r="E42">
        <f t="shared" si="0"/>
        <v>-0.1323481984099999</v>
      </c>
      <c r="F42">
        <f t="shared" si="1"/>
        <v>-0.1323481984099999</v>
      </c>
      <c r="I42" s="1">
        <f t="shared" si="5"/>
        <v>33554432</v>
      </c>
      <c r="J42">
        <v>-1.59351594774</v>
      </c>
      <c r="K42">
        <f>J42-J$3</f>
        <v>-0.18769592825000014</v>
      </c>
      <c r="L42">
        <f t="shared" si="2"/>
        <v>0.81230407174999986</v>
      </c>
      <c r="M42">
        <v>0.76794789531983998</v>
      </c>
      <c r="O42" s="1">
        <f t="shared" si="6"/>
        <v>33554432</v>
      </c>
      <c r="P42">
        <v>-0.66402000844200004</v>
      </c>
      <c r="Q42">
        <f>P42-P$3</f>
        <v>-0.23880920034200004</v>
      </c>
      <c r="R42">
        <f t="shared" si="3"/>
        <v>1.7611907996579999</v>
      </c>
    </row>
    <row r="43" spans="3:18" x14ac:dyDescent="0.3">
      <c r="C43" s="1">
        <f t="shared" si="4"/>
        <v>67108864</v>
      </c>
      <c r="D43">
        <v>-2.4743095726300002</v>
      </c>
      <c r="E43">
        <f t="shared" si="0"/>
        <v>-0.15307461129000011</v>
      </c>
      <c r="F43">
        <f t="shared" si="1"/>
        <v>-0.15307461129000011</v>
      </c>
      <c r="I43" s="1">
        <f t="shared" si="5"/>
        <v>67108864</v>
      </c>
      <c r="J43">
        <v>-1.6177301712300001</v>
      </c>
      <c r="K43">
        <f>J43-J$3</f>
        <v>-0.21191015174000016</v>
      </c>
      <c r="L43">
        <f t="shared" si="2"/>
        <v>0.78808984825999984</v>
      </c>
      <c r="M43">
        <v>0.72866306317085205</v>
      </c>
      <c r="O43" s="1">
        <f t="shared" si="6"/>
        <v>67108864</v>
      </c>
      <c r="P43">
        <v>-0.68533685313600001</v>
      </c>
      <c r="Q43">
        <f>P43-P$3</f>
        <v>-0.26012604503600001</v>
      </c>
      <c r="R43">
        <f t="shared" si="3"/>
        <v>1.7398739549640001</v>
      </c>
    </row>
    <row r="44" spans="3:18" x14ac:dyDescent="0.3">
      <c r="C44" s="1">
        <f t="shared" si="4"/>
        <v>134217728</v>
      </c>
      <c r="D44">
        <v>-2.4970754227600001</v>
      </c>
      <c r="E44">
        <f t="shared" si="0"/>
        <v>-0.17584046141999998</v>
      </c>
      <c r="F44">
        <f t="shared" si="1"/>
        <v>-0.17584046141999998</v>
      </c>
      <c r="I44" s="1">
        <f t="shared" si="5"/>
        <v>134217728</v>
      </c>
      <c r="J44">
        <v>-1.6410871375</v>
      </c>
      <c r="K44">
        <f>J44-J$3</f>
        <v>-0.23526711801000011</v>
      </c>
      <c r="L44">
        <f t="shared" si="2"/>
        <v>0.76473288198999989</v>
      </c>
      <c r="M44">
        <v>0.68798861696880498</v>
      </c>
      <c r="O44" s="1">
        <f t="shared" si="6"/>
        <v>134217728</v>
      </c>
      <c r="P44">
        <v>-0.70826970532300004</v>
      </c>
      <c r="Q44">
        <f>P44-P$3</f>
        <v>-0.28305889722300004</v>
      </c>
      <c r="R44">
        <f t="shared" si="3"/>
        <v>1.7169411027770001</v>
      </c>
    </row>
    <row r="45" spans="3:18" x14ac:dyDescent="0.3">
      <c r="C45" s="1">
        <f t="shared" si="4"/>
        <v>268435456</v>
      </c>
      <c r="D45">
        <v>-2.51099376717</v>
      </c>
      <c r="E45">
        <f t="shared" si="0"/>
        <v>-0.18975880582999993</v>
      </c>
      <c r="F45">
        <f t="shared" si="1"/>
        <v>-0.18975880582999993</v>
      </c>
      <c r="I45" s="1">
        <f t="shared" si="5"/>
        <v>268435456</v>
      </c>
      <c r="J45">
        <v>-1.65480507373</v>
      </c>
      <c r="K45">
        <f>J45-J$3</f>
        <v>-0.24898505424000006</v>
      </c>
      <c r="L45">
        <f t="shared" si="2"/>
        <v>0.75101494575999994</v>
      </c>
      <c r="M45">
        <v>0.64624972231073097</v>
      </c>
      <c r="O45" s="1">
        <f t="shared" si="6"/>
        <v>268435456</v>
      </c>
      <c r="P45">
        <v>-0.73184369283499995</v>
      </c>
      <c r="Q45">
        <f>P45-P$3</f>
        <v>-0.30663288473499994</v>
      </c>
      <c r="R45">
        <f t="shared" si="3"/>
        <v>1.6933671152650001</v>
      </c>
    </row>
    <row r="46" spans="3:18" x14ac:dyDescent="0.3">
      <c r="C46" s="1">
        <f t="shared" si="4"/>
        <v>536870912</v>
      </c>
      <c r="D46">
        <v>-2.5323122408700001</v>
      </c>
      <c r="E46">
        <f t="shared" si="0"/>
        <v>-0.21107727952999999</v>
      </c>
      <c r="F46">
        <f t="shared" si="1"/>
        <v>-0.21107727952999999</v>
      </c>
      <c r="I46" s="1">
        <f t="shared" si="5"/>
        <v>536870912</v>
      </c>
      <c r="J46">
        <v>-1.67658022535</v>
      </c>
      <c r="K46">
        <f>J46-J$3</f>
        <v>-0.27076020586000005</v>
      </c>
      <c r="L46">
        <f t="shared" si="2"/>
        <v>0.72923979413999995</v>
      </c>
      <c r="M46">
        <v>0.603713809664568</v>
      </c>
      <c r="O46" s="1">
        <f t="shared" si="6"/>
        <v>536870912</v>
      </c>
      <c r="P46">
        <v>-0.75571113461399997</v>
      </c>
      <c r="Q46">
        <f>P46-P$3</f>
        <v>-0.33050032651399996</v>
      </c>
      <c r="R46">
        <f t="shared" si="3"/>
        <v>1.6694996734859999</v>
      </c>
    </row>
    <row r="47" spans="3:18" x14ac:dyDescent="0.3">
      <c r="C47" s="1">
        <f t="shared" si="4"/>
        <v>1073741824</v>
      </c>
      <c r="D47">
        <v>-2.55161671232</v>
      </c>
      <c r="E47">
        <f t="shared" si="0"/>
        <v>-0.23038175097999991</v>
      </c>
      <c r="F47">
        <f t="shared" si="1"/>
        <v>-0.23038175097999991</v>
      </c>
      <c r="I47" s="1">
        <f t="shared" si="5"/>
        <v>1073741824</v>
      </c>
      <c r="J47">
        <v>-1.69728824265</v>
      </c>
      <c r="K47">
        <f>J47-J$3</f>
        <v>-0.2914682231600001</v>
      </c>
      <c r="L47">
        <f t="shared" si="2"/>
        <v>0.7085317768399999</v>
      </c>
      <c r="M47">
        <v>0.56091610669884395</v>
      </c>
      <c r="O47" s="1">
        <f t="shared" si="6"/>
        <v>1073741824</v>
      </c>
      <c r="P47">
        <v>-0.77738493052400004</v>
      </c>
      <c r="Q47">
        <f>P47-P$3</f>
        <v>-0.35217412242400004</v>
      </c>
      <c r="R47">
        <f t="shared" si="3"/>
        <v>1.647825877576</v>
      </c>
    </row>
  </sheetData>
  <phoneticPr fontId="1" type="noConversion"/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MYUNG JIN</dc:creator>
  <cp:lastModifiedBy>MYUNG JIN</cp:lastModifiedBy>
  <dcterms:created xsi:type="dcterms:W3CDTF">2026-01-26T12:50:43Z</dcterms:created>
  <dcterms:modified xsi:type="dcterms:W3CDTF">2026-01-27T09:00:20Z</dcterms:modified>
</cp:coreProperties>
</file>